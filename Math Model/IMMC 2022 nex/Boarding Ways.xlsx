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Anne/Desktop/Everything/IMMC/"/>
    </mc:Choice>
  </mc:AlternateContent>
  <bookViews>
    <workbookView xWindow="0" yWindow="0" windowWidth="28800" windowHeight="18000" tabRatio="500" activeTab="4"/>
  </bookViews>
  <sheets>
    <sheet name="Boarding Plane" sheetId="1" r:id="rId1"/>
    <sheet name="People Not Following" sheetId="3" r:id="rId2"/>
    <sheet name="More Lugguage" sheetId="2" r:id="rId3"/>
    <sheet name="Flying Wing " sheetId="4" r:id="rId4"/>
    <sheet name="Two Passenger Two  Aisle" sheetId="5" r:id="rId5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" i="5" l="1"/>
  <c r="G11" i="5"/>
  <c r="D12" i="4"/>
  <c r="C12" i="4"/>
  <c r="H12" i="4"/>
  <c r="G12" i="4"/>
  <c r="D11" i="5"/>
  <c r="C11" i="5"/>
  <c r="C29" i="1"/>
  <c r="L10" i="1"/>
  <c r="K10" i="1"/>
  <c r="H10" i="1"/>
  <c r="G10" i="1"/>
  <c r="D10" i="1"/>
  <c r="C10" i="1"/>
  <c r="J28" i="3"/>
  <c r="I28" i="3"/>
  <c r="G28" i="3"/>
  <c r="F28" i="3"/>
  <c r="D28" i="3"/>
  <c r="C28" i="3"/>
  <c r="J19" i="3"/>
  <c r="I19" i="3"/>
  <c r="G19" i="3"/>
  <c r="F19" i="3"/>
  <c r="D19" i="3"/>
  <c r="C19" i="3"/>
  <c r="J10" i="3"/>
  <c r="I10" i="3"/>
  <c r="G10" i="3"/>
  <c r="F10" i="3"/>
  <c r="D10" i="3"/>
  <c r="C10" i="3"/>
  <c r="F29" i="2"/>
  <c r="J29" i="2"/>
  <c r="I29" i="2"/>
  <c r="G29" i="2"/>
  <c r="D29" i="2"/>
  <c r="C29" i="2"/>
  <c r="J20" i="2"/>
  <c r="I20" i="2"/>
  <c r="G20" i="2"/>
  <c r="F20" i="2"/>
  <c r="D20" i="2"/>
  <c r="C20" i="2"/>
  <c r="J11" i="2"/>
  <c r="I11" i="2"/>
  <c r="G11" i="2"/>
  <c r="F11" i="2"/>
  <c r="D11" i="2"/>
  <c r="C11" i="2"/>
</calcChain>
</file>

<file path=xl/sharedStrings.xml><?xml version="1.0" encoding="utf-8"?>
<sst xmlns="http://schemas.openxmlformats.org/spreadsheetml/2006/main" count="166" uniqueCount="32">
  <si>
    <t>5th percentile</t>
  </si>
  <si>
    <t>95th percentile</t>
  </si>
  <si>
    <t>Board By Section</t>
  </si>
  <si>
    <t>Board by Seat</t>
  </si>
  <si>
    <t>Scenario</t>
  </si>
  <si>
    <t>Average</t>
  </si>
  <si>
    <t>95th  percentile</t>
  </si>
  <si>
    <t>Board by Section| 10%</t>
  </si>
  <si>
    <t>List Average</t>
  </si>
  <si>
    <t>Board by Seat | 10%</t>
  </si>
  <si>
    <t>list average</t>
  </si>
  <si>
    <t>95percentile</t>
  </si>
  <si>
    <t>Board by Random | 10%</t>
  </si>
  <si>
    <t>Board by Random</t>
  </si>
  <si>
    <t>Board by Section</t>
  </si>
  <si>
    <t>Method| percentage of passengers not following method</t>
  </si>
  <si>
    <t>Method | percentage of people not following the method</t>
  </si>
  <si>
    <t>Method| percentage of people who does not follow method</t>
  </si>
  <si>
    <t>Method</t>
  </si>
  <si>
    <t>Board By Random</t>
  </si>
  <si>
    <t>Method | Percentage by people having lugguage</t>
  </si>
  <si>
    <t>Random | 66.67%</t>
  </si>
  <si>
    <t>95th perecntile</t>
  </si>
  <si>
    <t>Section| 66.67%</t>
  </si>
  <si>
    <t>5th perecntile</t>
  </si>
  <si>
    <t>Seat | 66.67%</t>
  </si>
  <si>
    <t>normal</t>
  </si>
  <si>
    <t>50% of people</t>
  </si>
  <si>
    <t>100% of people</t>
  </si>
  <si>
    <t>divide FB WMA</t>
  </si>
  <si>
    <t>modified Front Back WMA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</si>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</sst>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8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4" borderId="0" xfId="0" applyNumberFormat="1" applyFill="1"/>
    <xf numFmtId="0" fontId="0" fillId="0" borderId="0" xfId="0" applyFill="1"/>
    <xf numFmtId="0" fontId="0" fillId="5" borderId="0" xfId="0" applyFill="1"/>
    <xf numFmtId="9" fontId="0" fillId="0" borderId="0" xfId="0" applyNumberFormat="1" applyFill="1"/>
    <xf numFmtId="0" fontId="0" fillId="0" borderId="0" xfId="0" applyNumberForma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1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in seconds takes using the Boarding Methods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'Boarding Plane'!$O$5</c:f>
              <c:strCache>
                <c:ptCount val="1"/>
                <c:pt idx="0">
                  <c:v>Board By 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'Boarding Plane'!$N$6:$N$8</c:f>
              <c:strCache>
                <c:ptCount val="3"/>
                <c:pt idx="0">
                  <c:v>5th percentile</c:v>
                </c:pt>
                <c:pt idx="1">
                  <c:v>95th percentile</c:v>
                </c:pt>
                <c:pt idx="2">
                  <c:v>list average</c:v>
                </c:pt>
              </c:strCache>
            </c:strRef>
          </c:cat>
          <c:val>
            <c:numRef>
              <c:f>'Boarding Plane'!$O$6:$O$8</c:f>
              <c:numCache>
                <c:formatCode>General</c:formatCode>
                <c:ptCount val="3"/>
                <c:pt idx="0">
                  <c:v>828.8</c:v>
                </c:pt>
                <c:pt idx="1">
                  <c:v>1073.0</c:v>
                </c:pt>
                <c:pt idx="2">
                  <c:v>955.0</c:v>
                </c:pt>
              </c:numCache>
            </c:numRef>
          </c:val>
        </c:ser>
        <c:ser>
          <c:idx val="1"/>
          <c:order val="1"/>
          <c:tx>
            <c:strRef>
              <c:f>'Boarding Plane'!$P$5</c:f>
              <c:strCache>
                <c:ptCount val="1"/>
                <c:pt idx="0">
                  <c:v>Board by Section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'Boarding Plane'!$N$6:$N$8</c:f>
              <c:strCache>
                <c:ptCount val="3"/>
                <c:pt idx="0">
                  <c:v>5th percentile</c:v>
                </c:pt>
                <c:pt idx="1">
                  <c:v>95th percentile</c:v>
                </c:pt>
                <c:pt idx="2">
                  <c:v>list average</c:v>
                </c:pt>
              </c:strCache>
            </c:strRef>
          </c:cat>
          <c:val>
            <c:numRef>
              <c:f>'Boarding Plane'!$P$6:$P$8</c:f>
              <c:numCache>
                <c:formatCode>General</c:formatCode>
                <c:ptCount val="3"/>
                <c:pt idx="0">
                  <c:v>923.0</c:v>
                </c:pt>
                <c:pt idx="1">
                  <c:v>1136.4</c:v>
                </c:pt>
                <c:pt idx="2">
                  <c:v>1030.0</c:v>
                </c:pt>
              </c:numCache>
            </c:numRef>
          </c:val>
        </c:ser>
        <c:ser>
          <c:idx val="2"/>
          <c:order val="2"/>
          <c:tx>
            <c:strRef>
              <c:f>'Boarding Plane'!$Q$5</c:f>
              <c:strCache>
                <c:ptCount val="1"/>
                <c:pt idx="0">
                  <c:v>Board by Seat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'Boarding Plane'!$N$6:$N$8</c:f>
              <c:strCache>
                <c:ptCount val="3"/>
                <c:pt idx="0">
                  <c:v>5th percentile</c:v>
                </c:pt>
                <c:pt idx="1">
                  <c:v>95th percentile</c:v>
                </c:pt>
                <c:pt idx="2">
                  <c:v>list average</c:v>
                </c:pt>
              </c:strCache>
            </c:strRef>
          </c:cat>
          <c:val>
            <c:numRef>
              <c:f>'Boarding Plane'!$Q$6:$Q$8</c:f>
              <c:numCache>
                <c:formatCode>General</c:formatCode>
                <c:ptCount val="3"/>
                <c:pt idx="0">
                  <c:v>396.0</c:v>
                </c:pt>
                <c:pt idx="1">
                  <c:v>505.8</c:v>
                </c:pt>
                <c:pt idx="2">
                  <c:v>452.0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6013664"/>
        <c:axId val="-156011344"/>
      </c:barChart>
      <c:catAx>
        <c:axId val="-1560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6011344"/>
        <c:crosses val="autoZero"/>
        <c:auto val="1"/>
        <c:lblAlgn val="ctr"/>
        <c:lblOffset val="100"/>
        <c:noMultiLvlLbl val="0"/>
      </c:catAx>
      <c:valAx>
        <c:axId val="-1560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601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Boarding with Percentage of Random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'People Not Following'!$A$36</c:f>
              <c:strCache>
                <c:ptCount val="1"/>
                <c:pt idx="0">
                  <c:v>5th percentile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'People Not Following'!$B$35:$E$35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Following'!$B$36:$E$36</c:f>
              <c:numCache>
                <c:formatCode>General</c:formatCode>
                <c:ptCount val="4"/>
                <c:pt idx="0">
                  <c:v>828.8</c:v>
                </c:pt>
                <c:pt idx="1">
                  <c:v>818.4</c:v>
                </c:pt>
                <c:pt idx="2">
                  <c:v>877.0</c:v>
                </c:pt>
                <c:pt idx="3">
                  <c:v>801.2</c:v>
                </c:pt>
              </c:numCache>
            </c:numRef>
          </c:val>
        </c:ser>
        <c:ser>
          <c:idx val="1"/>
          <c:order val="1"/>
          <c:tx>
            <c:strRef>
              <c:f>'People Not Following'!$A$37</c:f>
              <c:strCache>
                <c:ptCount val="1"/>
                <c:pt idx="0">
                  <c:v>95th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'People Not Following'!$B$35:$E$35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Following'!$B$37:$E$37</c:f>
              <c:numCache>
                <c:formatCode>General</c:formatCode>
                <c:ptCount val="4"/>
                <c:pt idx="0">
                  <c:v>1073.0</c:v>
                </c:pt>
                <c:pt idx="1">
                  <c:v>1071.4</c:v>
                </c:pt>
                <c:pt idx="2">
                  <c:v>1076.4</c:v>
                </c:pt>
                <c:pt idx="3">
                  <c:v>1066.4</c:v>
                </c:pt>
              </c:numCache>
            </c:numRef>
          </c:val>
        </c:ser>
        <c:ser>
          <c:idx val="2"/>
          <c:order val="2"/>
          <c:tx>
            <c:strRef>
              <c:f>'People Not Following'!$A$38</c:f>
              <c:strCache>
                <c:ptCount val="1"/>
                <c:pt idx="0">
                  <c:v>list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'People Not Following'!$B$35:$E$35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Following'!$B$38:$E$38</c:f>
              <c:numCache>
                <c:formatCode>General</c:formatCode>
                <c:ptCount val="4"/>
                <c:pt idx="0">
                  <c:v>955.0</c:v>
                </c:pt>
                <c:pt idx="1">
                  <c:v>949.0</c:v>
                </c:pt>
                <c:pt idx="2">
                  <c:v>949.0</c:v>
                </c:pt>
                <c:pt idx="3">
                  <c:v>944.0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5169472"/>
        <c:axId val="-155167152"/>
      </c:barChart>
      <c:catAx>
        <c:axId val="-15516947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167152"/>
        <c:crosses val="autoZero"/>
        <c:auto val="1"/>
        <c:lblAlgn val="ctr"/>
        <c:lblOffset val="100"/>
        <c:noMultiLvlLbl val="0"/>
      </c:catAx>
      <c:valAx>
        <c:axId val="-15516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16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</a:t>
            </a:r>
            <a:r>
              <a:rPr lang="en-US" baseline="0"/>
              <a:t> Boarding with Percentage of Random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'People Not Following'!$G$36</c:f>
              <c:strCache>
                <c:ptCount val="1"/>
                <c:pt idx="0">
                  <c:v>5th percentile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'People Not Following'!$H$35:$K$35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Following'!$H$36:$K$36</c:f>
              <c:numCache>
                <c:formatCode>General</c:formatCode>
                <c:ptCount val="4"/>
                <c:pt idx="0">
                  <c:v>923.0</c:v>
                </c:pt>
                <c:pt idx="1">
                  <c:v>917.8</c:v>
                </c:pt>
                <c:pt idx="2">
                  <c:v>898.6</c:v>
                </c:pt>
                <c:pt idx="3">
                  <c:v>882.6</c:v>
                </c:pt>
              </c:numCache>
            </c:numRef>
          </c:val>
        </c:ser>
        <c:ser>
          <c:idx val="1"/>
          <c:order val="1"/>
          <c:tx>
            <c:strRef>
              <c:f>'People Not Following'!$G$37</c:f>
              <c:strCache>
                <c:ptCount val="1"/>
                <c:pt idx="0">
                  <c:v>95th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'People Not Following'!$H$35:$K$35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Following'!$H$37:$K$37</c:f>
              <c:numCache>
                <c:formatCode>General</c:formatCode>
                <c:ptCount val="4"/>
                <c:pt idx="0">
                  <c:v>1136.4</c:v>
                </c:pt>
                <c:pt idx="1">
                  <c:v>1120.0</c:v>
                </c:pt>
                <c:pt idx="2">
                  <c:v>1107.4</c:v>
                </c:pt>
                <c:pt idx="3">
                  <c:v>1092.0</c:v>
                </c:pt>
              </c:numCache>
            </c:numRef>
          </c:val>
        </c:ser>
        <c:ser>
          <c:idx val="2"/>
          <c:order val="2"/>
          <c:tx>
            <c:strRef>
              <c:f>'People Not Following'!$G$38</c:f>
              <c:strCache>
                <c:ptCount val="1"/>
                <c:pt idx="0">
                  <c:v>list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'People Not Following'!$H$35:$K$35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Following'!$H$38:$K$38</c:f>
              <c:numCache>
                <c:formatCode>General</c:formatCode>
                <c:ptCount val="4"/>
                <c:pt idx="0">
                  <c:v>1030.0</c:v>
                </c:pt>
                <c:pt idx="1">
                  <c:v>1024.0</c:v>
                </c:pt>
                <c:pt idx="2">
                  <c:v>1009.0</c:v>
                </c:pt>
                <c:pt idx="3">
                  <c:v>987.0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4673072"/>
        <c:axId val="-174670320"/>
      </c:barChart>
      <c:catAx>
        <c:axId val="-17467307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670320"/>
        <c:crosses val="autoZero"/>
        <c:auto val="1"/>
        <c:lblAlgn val="ctr"/>
        <c:lblOffset val="100"/>
        <c:noMultiLvlLbl val="0"/>
      </c:catAx>
      <c:valAx>
        <c:axId val="-17467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67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Seat</a:t>
            </a:r>
            <a:r>
              <a:rPr lang="en-US" baseline="0"/>
              <a:t> Boarding with Percentage of Random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'People Not Following'!$M$36</c:f>
              <c:strCache>
                <c:ptCount val="1"/>
                <c:pt idx="0">
                  <c:v>5th percentile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'People Not Following'!$N$35:$Q$35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Following'!$N$36:$Q$36</c:f>
              <c:numCache>
                <c:formatCode>General</c:formatCode>
                <c:ptCount val="4"/>
                <c:pt idx="0">
                  <c:v>396.0</c:v>
                </c:pt>
                <c:pt idx="1">
                  <c:v>433.4</c:v>
                </c:pt>
                <c:pt idx="2">
                  <c:v>557.2</c:v>
                </c:pt>
                <c:pt idx="3">
                  <c:v>680.8</c:v>
                </c:pt>
              </c:numCache>
            </c:numRef>
          </c:val>
        </c:ser>
        <c:ser>
          <c:idx val="1"/>
          <c:order val="1"/>
          <c:tx>
            <c:strRef>
              <c:f>'People Not Following'!$M$37</c:f>
              <c:strCache>
                <c:ptCount val="1"/>
                <c:pt idx="0">
                  <c:v>95th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'People Not Following'!$N$35:$Q$35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Following'!$N$37:$Q$37</c:f>
              <c:numCache>
                <c:formatCode>General</c:formatCode>
                <c:ptCount val="4"/>
                <c:pt idx="0">
                  <c:v>505.8</c:v>
                </c:pt>
                <c:pt idx="1">
                  <c:v>577.8</c:v>
                </c:pt>
                <c:pt idx="2">
                  <c:v>762.2</c:v>
                </c:pt>
                <c:pt idx="3">
                  <c:v>923.0</c:v>
                </c:pt>
              </c:numCache>
            </c:numRef>
          </c:val>
        </c:ser>
        <c:ser>
          <c:idx val="2"/>
          <c:order val="2"/>
          <c:tx>
            <c:strRef>
              <c:f>'People Not Following'!$M$38</c:f>
              <c:strCache>
                <c:ptCount val="1"/>
                <c:pt idx="0">
                  <c:v>list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'People Not Following'!$N$35:$Q$35</c:f>
              <c:numCache>
                <c:formatCode>0%</c:formatCode>
                <c:ptCount val="4"/>
                <c:pt idx="0">
                  <c:v>0.0</c:v>
                </c:pt>
                <c:pt idx="1">
                  <c:v>0.1</c:v>
                </c:pt>
                <c:pt idx="2">
                  <c:v>0.4</c:v>
                </c:pt>
                <c:pt idx="3">
                  <c:v>0.7</c:v>
                </c:pt>
              </c:numCache>
            </c:numRef>
          </c:cat>
          <c:val>
            <c:numRef>
              <c:f>'People Not Following'!$N$38:$Q$38</c:f>
              <c:numCache>
                <c:formatCode>General</c:formatCode>
                <c:ptCount val="4"/>
                <c:pt idx="0">
                  <c:v>452.0</c:v>
                </c:pt>
                <c:pt idx="1">
                  <c:v>508.0</c:v>
                </c:pt>
                <c:pt idx="2">
                  <c:v>664.0</c:v>
                </c:pt>
                <c:pt idx="3">
                  <c:v>813.0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7000960"/>
        <c:axId val="-156998640"/>
      </c:barChart>
      <c:catAx>
        <c:axId val="-15700096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6998640"/>
        <c:crosses val="autoZero"/>
        <c:auto val="1"/>
        <c:lblAlgn val="ctr"/>
        <c:lblOffset val="100"/>
        <c:noMultiLvlLbl val="0"/>
      </c:catAx>
      <c:valAx>
        <c:axId val="-1569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700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Boarding</a:t>
            </a:r>
            <a:r>
              <a:rPr lang="en-US" baseline="0"/>
              <a:t> by Random Affected by Luggage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'More Lugguage'!$L$6</c:f>
              <c:strCache>
                <c:ptCount val="1"/>
                <c:pt idx="0">
                  <c:v>5th percentile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'More Lugguage'!$M$5:$P$5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Lugguage'!$M$6:$P$6</c:f>
              <c:numCache>
                <c:formatCode>General</c:formatCode>
                <c:ptCount val="4"/>
                <c:pt idx="0">
                  <c:v>828.8</c:v>
                </c:pt>
                <c:pt idx="1">
                  <c:v>955.0</c:v>
                </c:pt>
                <c:pt idx="2">
                  <c:v>1046.6</c:v>
                </c:pt>
                <c:pt idx="3">
                  <c:v>1139.2</c:v>
                </c:pt>
              </c:numCache>
            </c:numRef>
          </c:val>
        </c:ser>
        <c:ser>
          <c:idx val="1"/>
          <c:order val="1"/>
          <c:tx>
            <c:strRef>
              <c:f>'More Lugguage'!$L$7</c:f>
              <c:strCache>
                <c:ptCount val="1"/>
                <c:pt idx="0">
                  <c:v>95th perecntile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'More Lugguage'!$M$5:$P$5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Lugguage'!$M$7:$P$7</c:f>
              <c:numCache>
                <c:formatCode>General</c:formatCode>
                <c:ptCount val="4"/>
                <c:pt idx="0">
                  <c:v>1073.0</c:v>
                </c:pt>
                <c:pt idx="1">
                  <c:v>1208.0</c:v>
                </c:pt>
                <c:pt idx="2">
                  <c:v>1328.4</c:v>
                </c:pt>
                <c:pt idx="3">
                  <c:v>1414.2</c:v>
                </c:pt>
              </c:numCache>
            </c:numRef>
          </c:val>
        </c:ser>
        <c:ser>
          <c:idx val="2"/>
          <c:order val="2"/>
          <c:tx>
            <c:strRef>
              <c:f>'More Lugguage'!$L$8</c:f>
              <c:strCache>
                <c:ptCount val="1"/>
                <c:pt idx="0">
                  <c:v>List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'More Lugguage'!$M$5:$P$5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Lugguage'!$M$8:$P$8</c:f>
              <c:numCache>
                <c:formatCode>General</c:formatCode>
                <c:ptCount val="4"/>
                <c:pt idx="0">
                  <c:v>955.0</c:v>
                </c:pt>
                <c:pt idx="1">
                  <c:v>1093.0</c:v>
                </c:pt>
                <c:pt idx="2">
                  <c:v>1203.0</c:v>
                </c:pt>
                <c:pt idx="3">
                  <c:v>1286.0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5133888"/>
        <c:axId val="-155131136"/>
      </c:barChart>
      <c:catAx>
        <c:axId val="-15513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131136"/>
        <c:crosses val="autoZero"/>
        <c:auto val="1"/>
        <c:lblAlgn val="ctr"/>
        <c:lblOffset val="100"/>
        <c:noMultiLvlLbl val="0"/>
      </c:catAx>
      <c:valAx>
        <c:axId val="-15513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13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Boarding</a:t>
            </a:r>
            <a:r>
              <a:rPr lang="en-US" baseline="0"/>
              <a:t> by Section Affected by Luggage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'More Lugguage'!$L$15</c:f>
              <c:strCache>
                <c:ptCount val="1"/>
                <c:pt idx="0">
                  <c:v>5th percentile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'More Lugguage'!$M$14:$P$14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Lugguage'!$M$15:$P$15</c:f>
              <c:numCache>
                <c:formatCode>General</c:formatCode>
                <c:ptCount val="4"/>
                <c:pt idx="0">
                  <c:v>923.0</c:v>
                </c:pt>
                <c:pt idx="1">
                  <c:v>1067.4</c:v>
                </c:pt>
                <c:pt idx="2">
                  <c:v>1193.6</c:v>
                </c:pt>
                <c:pt idx="3">
                  <c:v>1291.2</c:v>
                </c:pt>
              </c:numCache>
            </c:numRef>
          </c:val>
        </c:ser>
        <c:ser>
          <c:idx val="1"/>
          <c:order val="1"/>
          <c:tx>
            <c:strRef>
              <c:f>'More Lugguage'!$L$16</c:f>
              <c:strCache>
                <c:ptCount val="1"/>
                <c:pt idx="0">
                  <c:v>95th perecntile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'More Lugguage'!$M$14:$P$14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Lugguage'!$M$16:$P$16</c:f>
              <c:numCache>
                <c:formatCode>General</c:formatCode>
                <c:ptCount val="4"/>
                <c:pt idx="0">
                  <c:v>1136.4</c:v>
                </c:pt>
                <c:pt idx="1">
                  <c:v>1257.4</c:v>
                </c:pt>
                <c:pt idx="2">
                  <c:v>1383.8</c:v>
                </c:pt>
                <c:pt idx="3">
                  <c:v>1469.2</c:v>
                </c:pt>
              </c:numCache>
            </c:numRef>
          </c:val>
        </c:ser>
        <c:ser>
          <c:idx val="2"/>
          <c:order val="2"/>
          <c:tx>
            <c:strRef>
              <c:f>'More Lugguage'!$L$17</c:f>
              <c:strCache>
                <c:ptCount val="1"/>
                <c:pt idx="0">
                  <c:v>List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'More Lugguage'!$M$14:$P$14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Lugguage'!$M$17:$P$17</c:f>
              <c:numCache>
                <c:formatCode>General</c:formatCode>
                <c:ptCount val="4"/>
                <c:pt idx="0">
                  <c:v>1030.0</c:v>
                </c:pt>
                <c:pt idx="1">
                  <c:v>1173.0</c:v>
                </c:pt>
                <c:pt idx="2">
                  <c:v>1294.0</c:v>
                </c:pt>
                <c:pt idx="3">
                  <c:v>1387.0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5097712"/>
        <c:axId val="-155094960"/>
      </c:barChart>
      <c:catAx>
        <c:axId val="-15509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094960"/>
        <c:crosses val="autoZero"/>
        <c:auto val="1"/>
        <c:lblAlgn val="ctr"/>
        <c:lblOffset val="100"/>
        <c:noMultiLvlLbl val="0"/>
      </c:catAx>
      <c:valAx>
        <c:axId val="-1550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09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Boarding</a:t>
            </a:r>
            <a:r>
              <a:rPr lang="en-US" baseline="0"/>
              <a:t> by Seat Affected by Luggage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'More Lugguage'!$L$24</c:f>
              <c:strCache>
                <c:ptCount val="1"/>
                <c:pt idx="0">
                  <c:v>5th percentile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'More Lugguage'!$M$23:$P$23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Lugguage'!$M$24:$P$24</c:f>
              <c:numCache>
                <c:formatCode>General</c:formatCode>
                <c:ptCount val="4"/>
                <c:pt idx="0">
                  <c:v>396.0</c:v>
                </c:pt>
                <c:pt idx="1">
                  <c:v>529.8</c:v>
                </c:pt>
                <c:pt idx="2">
                  <c:v>637.2</c:v>
                </c:pt>
                <c:pt idx="3">
                  <c:v>724.2</c:v>
                </c:pt>
              </c:numCache>
            </c:numRef>
          </c:val>
        </c:ser>
        <c:ser>
          <c:idx val="1"/>
          <c:order val="1"/>
          <c:tx>
            <c:strRef>
              <c:f>'More Lugguage'!$L$25</c:f>
              <c:strCache>
                <c:ptCount val="1"/>
                <c:pt idx="0">
                  <c:v>95th perecntile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'More Lugguage'!$M$23:$P$23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Lugguage'!$M$25:$P$25</c:f>
              <c:numCache>
                <c:formatCode>General</c:formatCode>
                <c:ptCount val="4"/>
                <c:pt idx="0">
                  <c:v>505.8</c:v>
                </c:pt>
                <c:pt idx="1">
                  <c:v>665.0</c:v>
                </c:pt>
                <c:pt idx="2">
                  <c:v>774.4</c:v>
                </c:pt>
                <c:pt idx="3">
                  <c:v>853.2</c:v>
                </c:pt>
              </c:numCache>
            </c:numRef>
          </c:val>
        </c:ser>
        <c:ser>
          <c:idx val="2"/>
          <c:order val="2"/>
          <c:tx>
            <c:strRef>
              <c:f>'More Lugguage'!$L$26</c:f>
              <c:strCache>
                <c:ptCount val="1"/>
                <c:pt idx="0">
                  <c:v>List Average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'More Lugguage'!$M$23:$P$23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Lugguage'!$M$26:$P$26</c:f>
              <c:numCache>
                <c:formatCode>General</c:formatCode>
                <c:ptCount val="4"/>
                <c:pt idx="0">
                  <c:v>452.0</c:v>
                </c:pt>
                <c:pt idx="1">
                  <c:v>600.0</c:v>
                </c:pt>
                <c:pt idx="2">
                  <c:v>709.0</c:v>
                </c:pt>
                <c:pt idx="3">
                  <c:v>796.0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5982672"/>
        <c:axId val="-155979920"/>
      </c:barChart>
      <c:catAx>
        <c:axId val="-1559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979920"/>
        <c:crosses val="autoZero"/>
        <c:auto val="1"/>
        <c:lblAlgn val="ctr"/>
        <c:lblOffset val="100"/>
        <c:noMultiLvlLbl val="0"/>
      </c:catAx>
      <c:valAx>
        <c:axId val="-15597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9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'More Lugguage'!$L$6</c:f>
              <c:strCache>
                <c:ptCount val="1"/>
                <c:pt idx="0">
                  <c:v>5th percentile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Lugguage'!$M$5:$P$5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Lugguage'!$M$6:$P$6</c:f>
              <c:numCache>
                <c:formatCode>General</c:formatCode>
                <c:ptCount val="4"/>
                <c:pt idx="0">
                  <c:v>828.8</c:v>
                </c:pt>
                <c:pt idx="1">
                  <c:v>955.0</c:v>
                </c:pt>
                <c:pt idx="2">
                  <c:v>1046.6</c:v>
                </c:pt>
                <c:pt idx="3">
                  <c:v>1139.2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'More Lugguage'!$L$7</c:f>
              <c:strCache>
                <c:ptCount val="1"/>
                <c:pt idx="0">
                  <c:v>95th perecntile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Lugguage'!$M$5:$P$5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Lugguage'!$M$7:$P$7</c:f>
              <c:numCache>
                <c:formatCode>General</c:formatCode>
                <c:ptCount val="4"/>
                <c:pt idx="0">
                  <c:v>1073.0</c:v>
                </c:pt>
                <c:pt idx="1">
                  <c:v>1208.0</c:v>
                </c:pt>
                <c:pt idx="2">
                  <c:v>1328.4</c:v>
                </c:pt>
                <c:pt idx="3">
                  <c:v>1414.2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'More Lugguage'!$L$8</c:f>
              <c:strCache>
                <c:ptCount val="1"/>
                <c:pt idx="0">
                  <c:v>List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Lugguage'!$M$5:$P$5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Lugguage'!$M$8:$P$8</c:f>
              <c:numCache>
                <c:formatCode>General</c:formatCode>
                <c:ptCount val="4"/>
                <c:pt idx="0">
                  <c:v>955.0</c:v>
                </c:pt>
                <c:pt idx="1">
                  <c:v>1093.0</c:v>
                </c:pt>
                <c:pt idx="2">
                  <c:v>1203.0</c:v>
                </c:pt>
                <c:pt idx="3">
                  <c:v>1286.0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5946624"/>
        <c:axId val="-155943872"/>
      </c:lineChart>
      <c:catAx>
        <c:axId val="-15594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943872"/>
        <c:crosses val="autoZero"/>
        <c:auto val="1"/>
        <c:lblAlgn val="ctr"/>
        <c:lblOffset val="100"/>
        <c:noMultiLvlLbl val="0"/>
      </c:catAx>
      <c:valAx>
        <c:axId val="-1559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594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'More Lugguage'!$L$15</c:f>
              <c:strCache>
                <c:ptCount val="1"/>
                <c:pt idx="0">
                  <c:v>5th percentile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Lugguage'!$M$14:$P$14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Lugguage'!$M$15:$P$15</c:f>
              <c:numCache>
                <c:formatCode>General</c:formatCode>
                <c:ptCount val="4"/>
                <c:pt idx="0">
                  <c:v>923.0</c:v>
                </c:pt>
                <c:pt idx="1">
                  <c:v>1067.4</c:v>
                </c:pt>
                <c:pt idx="2">
                  <c:v>1193.6</c:v>
                </c:pt>
                <c:pt idx="3">
                  <c:v>1291.2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'More Lugguage'!$L$16</c:f>
              <c:strCache>
                <c:ptCount val="1"/>
                <c:pt idx="0">
                  <c:v>95th perecntile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Lugguage'!$M$14:$P$14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Lugguage'!$M$16:$P$16</c:f>
              <c:numCache>
                <c:formatCode>General</c:formatCode>
                <c:ptCount val="4"/>
                <c:pt idx="0">
                  <c:v>1136.4</c:v>
                </c:pt>
                <c:pt idx="1">
                  <c:v>1257.4</c:v>
                </c:pt>
                <c:pt idx="2">
                  <c:v>1383.8</c:v>
                </c:pt>
                <c:pt idx="3">
                  <c:v>1469.2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'More Lugguage'!$L$17</c:f>
              <c:strCache>
                <c:ptCount val="1"/>
                <c:pt idx="0">
                  <c:v>List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Lugguage'!$M$14:$P$14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Lugguage'!$M$17:$P$17</c:f>
              <c:numCache>
                <c:formatCode>General</c:formatCode>
                <c:ptCount val="4"/>
                <c:pt idx="0">
                  <c:v>1030.0</c:v>
                </c:pt>
                <c:pt idx="1">
                  <c:v>1173.0</c:v>
                </c:pt>
                <c:pt idx="2">
                  <c:v>1294.0</c:v>
                </c:pt>
                <c:pt idx="3">
                  <c:v>1387.0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4638816"/>
        <c:axId val="-174636064"/>
      </c:lineChart>
      <c:catAx>
        <c:axId val="-17463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636064"/>
        <c:crosses val="autoZero"/>
        <c:auto val="1"/>
        <c:lblAlgn val="ctr"/>
        <c:lblOffset val="100"/>
        <c:noMultiLvlLbl val="0"/>
      </c:catAx>
      <c:valAx>
        <c:axId val="-1746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63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'More Lugguage'!$L$24</c:f>
              <c:strCache>
                <c:ptCount val="1"/>
                <c:pt idx="0">
                  <c:v>5th percentile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Lugguage'!$M$23:$P$23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Lugguage'!$M$24:$P$24</c:f>
              <c:numCache>
                <c:formatCode>General</c:formatCode>
                <c:ptCount val="4"/>
                <c:pt idx="0">
                  <c:v>396.0</c:v>
                </c:pt>
                <c:pt idx="1">
                  <c:v>529.8</c:v>
                </c:pt>
                <c:pt idx="2">
                  <c:v>637.2</c:v>
                </c:pt>
                <c:pt idx="3">
                  <c:v>724.2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'More Lugguage'!$L$25</c:f>
              <c:strCache>
                <c:ptCount val="1"/>
                <c:pt idx="0">
                  <c:v>95th perecntile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Lugguage'!$M$23:$P$23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Lugguage'!$M$25:$P$25</c:f>
              <c:numCache>
                <c:formatCode>General</c:formatCode>
                <c:ptCount val="4"/>
                <c:pt idx="0">
                  <c:v>505.8</c:v>
                </c:pt>
                <c:pt idx="1">
                  <c:v>665.0</c:v>
                </c:pt>
                <c:pt idx="2">
                  <c:v>774.4</c:v>
                </c:pt>
                <c:pt idx="3">
                  <c:v>853.2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'More Lugguage'!$L$26</c:f>
              <c:strCache>
                <c:ptCount val="1"/>
                <c:pt idx="0">
                  <c:v>List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'More Lugguage'!$M$23:$P$23</c:f>
              <c:strCache>
                <c:ptCount val="4"/>
                <c:pt idx="0">
                  <c:v>normal</c:v>
                </c:pt>
                <c:pt idx="1">
                  <c:v>66.67%</c:v>
                </c:pt>
                <c:pt idx="2">
                  <c:v>80%</c:v>
                </c:pt>
                <c:pt idx="3">
                  <c:v>90%</c:v>
                </c:pt>
              </c:strCache>
            </c:strRef>
          </c:cat>
          <c:val>
            <c:numRef>
              <c:f>'More Lugguage'!$M$26:$P$26</c:f>
              <c:numCache>
                <c:formatCode>General</c:formatCode>
                <c:ptCount val="4"/>
                <c:pt idx="0">
                  <c:v>452.0</c:v>
                </c:pt>
                <c:pt idx="1">
                  <c:v>600.0</c:v>
                </c:pt>
                <c:pt idx="2">
                  <c:v>709.0</c:v>
                </c:pt>
                <c:pt idx="3">
                  <c:v>796.0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4614944"/>
        <c:axId val="-174612192"/>
      </c:lineChart>
      <c:catAx>
        <c:axId val="-1746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612192"/>
        <c:crosses val="autoZero"/>
        <c:auto val="1"/>
        <c:lblAlgn val="ctr"/>
        <c:lblOffset val="100"/>
        <c:noMultiLvlLbl val="0"/>
      </c:catAx>
      <c:valAx>
        <c:axId val="-1746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6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Flying</a:t>
            </a:r>
            <a:r>
              <a:rPr lang="en-US" baseline="0"/>
              <a:t> Wing Method Comparsion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'Flying Wing '!$L$7</c:f>
              <c:strCache>
                <c:ptCount val="1"/>
                <c:pt idx="0">
                  <c:v>modified Front Back WMA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'Flying Wing '!$M$6:$O$6</c:f>
              <c:strCache>
                <c:ptCount val="3"/>
                <c:pt idx="0">
                  <c:v>5th percentile</c:v>
                </c:pt>
                <c:pt idx="1">
                  <c:v>95th percentile</c:v>
                </c:pt>
                <c:pt idx="2">
                  <c:v>List Average</c:v>
                </c:pt>
              </c:strCache>
            </c:strRef>
          </c:cat>
          <c:val>
            <c:numRef>
              <c:f>'Flying Wing '!$M$7:$O$7</c:f>
              <c:numCache>
                <c:formatCode>General</c:formatCode>
                <c:ptCount val="3"/>
                <c:pt idx="0">
                  <c:v>733.6</c:v>
                </c:pt>
                <c:pt idx="1">
                  <c:v>876.6</c:v>
                </c:pt>
                <c:pt idx="2">
                  <c:v>801.0</c:v>
                </c:pt>
              </c:numCache>
            </c:numRef>
          </c:val>
        </c:ser>
        <c:ser>
          <c:idx val="1"/>
          <c:order val="1"/>
          <c:tx>
            <c:strRef>
              <c:f>'Flying Wing '!$L$8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'Flying Wing '!$M$6:$O$6</c:f>
              <c:strCache>
                <c:ptCount val="3"/>
                <c:pt idx="0">
                  <c:v>5th percentile</c:v>
                </c:pt>
                <c:pt idx="1">
                  <c:v>95th percentile</c:v>
                </c:pt>
                <c:pt idx="2">
                  <c:v>List Average</c:v>
                </c:pt>
              </c:strCache>
            </c:strRef>
          </c:cat>
          <c:val>
            <c:numRef>
              <c:f>'Flying Wing '!$M$8:$O$8</c:f>
              <c:numCache>
                <c:formatCode>General</c:formatCode>
                <c:ptCount val="3"/>
                <c:pt idx="0">
                  <c:v>1072.6</c:v>
                </c:pt>
                <c:pt idx="1">
                  <c:v>1120.4</c:v>
                </c:pt>
                <c:pt idx="2">
                  <c:v>1190.0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1122640"/>
        <c:axId val="-110912624"/>
      </c:barChart>
      <c:catAx>
        <c:axId val="-11112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912624"/>
        <c:crosses val="autoZero"/>
        <c:auto val="1"/>
        <c:lblAlgn val="ctr"/>
        <c:lblOffset val="100"/>
        <c:noMultiLvlLbl val="0"/>
      </c:catAx>
      <c:valAx>
        <c:axId val="-1109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12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Two</a:t>
            </a:r>
            <a:r>
              <a:rPr lang="en-US" baseline="0"/>
              <a:t> Passenger Two Aisle Methods Comparsion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'Two Passenger Two  Aisle'!$K$5</c:f>
              <c:strCache>
                <c:ptCount val="1"/>
                <c:pt idx="0">
                  <c:v>modified Front Back WMA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'Two Passenger Two  Aisle'!$L$4:$N$4</c:f>
              <c:strCache>
                <c:ptCount val="3"/>
                <c:pt idx="0">
                  <c:v>5th percentile</c:v>
                </c:pt>
                <c:pt idx="1">
                  <c:v>95th percentile</c:v>
                </c:pt>
                <c:pt idx="2">
                  <c:v>List Average</c:v>
                </c:pt>
              </c:strCache>
            </c:strRef>
          </c:cat>
          <c:val>
            <c:numRef>
              <c:f>'Two Passenger Two  Aisle'!$L$5:$N$5</c:f>
              <c:numCache>
                <c:formatCode>General</c:formatCode>
                <c:ptCount val="3"/>
                <c:pt idx="0">
                  <c:v>243.2</c:v>
                </c:pt>
                <c:pt idx="1">
                  <c:v>359.6</c:v>
                </c:pt>
                <c:pt idx="2">
                  <c:v>299.0</c:v>
                </c:pt>
              </c:numCache>
            </c:numRef>
          </c:val>
        </c:ser>
        <c:ser>
          <c:idx val="1"/>
          <c:order val="1"/>
          <c:tx>
            <c:strRef>
              <c:f>'Two Passenger Two  Aisle'!$K$6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'Two Passenger Two  Aisle'!$L$4:$N$4</c:f>
              <c:strCache>
                <c:ptCount val="3"/>
                <c:pt idx="0">
                  <c:v>5th percentile</c:v>
                </c:pt>
                <c:pt idx="1">
                  <c:v>95th percentile</c:v>
                </c:pt>
                <c:pt idx="2">
                  <c:v>List Average</c:v>
                </c:pt>
              </c:strCache>
            </c:strRef>
          </c:cat>
          <c:val>
            <c:numRef>
              <c:f>'Two Passenger Two  Aisle'!$L$6:$N$6</c:f>
              <c:numCache>
                <c:formatCode>General</c:formatCode>
                <c:ptCount val="3"/>
                <c:pt idx="0">
                  <c:v>261.8</c:v>
                </c:pt>
                <c:pt idx="1">
                  <c:v>394.4</c:v>
                </c:pt>
                <c:pt idx="2">
                  <c:v>334.0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1092368"/>
        <c:axId val="-111090592"/>
      </c:barChart>
      <c:catAx>
        <c:axId val="-11109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090592"/>
        <c:crosses val="autoZero"/>
        <c:auto val="1"/>
        <c:lblAlgn val="ctr"/>
        <c:lblOffset val="100"/>
        <c:noMultiLvlLbl val="0"/>
      </c:catAx>
      <c:valAx>
        <c:axId val="-1110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109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770852</xdr:colOff>
      <xdr:row>12</xdr:row>
      <xdr:rowOff>59247</xdr:rowOff>
    </xdr:from>
    <xdr:to>
      <xdr:col>18</xdr:col>
      <xdr:colOff>365951</xdr:colOff>
      <xdr:row>25</xdr:row>
      <xdr:rowOff>50781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51916</xdr:rowOff>
    </xdr:from>
    <xdr:to>
      <xdr:col>5</xdr:col>
      <xdr:colOff>454967</xdr:colOff>
      <xdr:row>52</xdr:row>
      <xdr:rowOff>73688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651748</xdr:colOff>
      <xdr:row>39</xdr:row>
      <xdr:rowOff>37960</xdr:rowOff>
    </xdr:from>
    <xdr:to>
      <xdr:col>11</xdr:col>
      <xdr:colOff>283308</xdr:colOff>
      <xdr:row>52</xdr:row>
      <xdr:rowOff>59732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37682</xdr:colOff>
      <xdr:row>39</xdr:row>
      <xdr:rowOff>24004</xdr:rowOff>
    </xdr:from>
    <xdr:to>
      <xdr:col>17</xdr:col>
      <xdr:colOff>492649</xdr:colOff>
      <xdr:row>52</xdr:row>
      <xdr:rowOff>45776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353457</xdr:colOff>
      <xdr:row>33</xdr:row>
      <xdr:rowOff>143218</xdr:rowOff>
    </xdr:from>
    <xdr:to>
      <xdr:col>5</xdr:col>
      <xdr:colOff>794132</xdr:colOff>
      <xdr:row>47</xdr:row>
      <xdr:rowOff>101599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200446</xdr:colOff>
      <xdr:row>33</xdr:row>
      <xdr:rowOff>158520</xdr:rowOff>
    </xdr:from>
    <xdr:to>
      <xdr:col>11</xdr:col>
      <xdr:colOff>641120</xdr:colOff>
      <xdr:row>47</xdr:row>
      <xdr:rowOff>116901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78036</xdr:colOff>
      <xdr:row>33</xdr:row>
      <xdr:rowOff>173821</xdr:rowOff>
    </xdr:from>
    <xdr:to>
      <xdr:col>17</xdr:col>
      <xdr:colOff>518711</xdr:colOff>
      <xdr:row>47</xdr:row>
      <xdr:rowOff>132202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154542</xdr:colOff>
      <xdr:row>2</xdr:row>
      <xdr:rowOff>173822</xdr:rowOff>
    </xdr:from>
    <xdr:to>
      <xdr:col>24</xdr:col>
      <xdr:colOff>595217</xdr:colOff>
      <xdr:row>16</xdr:row>
      <xdr:rowOff>132202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78037</xdr:colOff>
      <xdr:row>16</xdr:row>
      <xdr:rowOff>158520</xdr:rowOff>
    </xdr:from>
    <xdr:to>
      <xdr:col>24</xdr:col>
      <xdr:colOff>518712</xdr:colOff>
      <xdr:row>30</xdr:row>
      <xdr:rowOff>116901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154543</xdr:colOff>
      <xdr:row>31</xdr:row>
      <xdr:rowOff>36110</xdr:rowOff>
    </xdr:from>
    <xdr:to>
      <xdr:col>24</xdr:col>
      <xdr:colOff>595218</xdr:colOff>
      <xdr:row>44</xdr:row>
      <xdr:rowOff>193407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14</xdr:row>
      <xdr:rowOff>152400</xdr:rowOff>
    </xdr:from>
    <xdr:to>
      <xdr:col>13</xdr:col>
      <xdr:colOff>152400</xdr:colOff>
      <xdr:row>28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660400</xdr:colOff>
      <xdr:row>14</xdr:row>
      <xdr:rowOff>101600</xdr:rowOff>
    </xdr:from>
    <xdr:to>
      <xdr:col>13</xdr:col>
      <xdr:colOff>279400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zoomScale="75" workbookViewId="0">
      <selection activeCell="A4" sqref="A4:D11"/>
    </sheetView>
  </sheetViews>
  <sheetFormatPr baseColWidth="10" defaultRowHeight="16" x14ac:dyDescent="0.2"/>
  <cols>
    <col min="1" max="1" width="11.33203125" customWidth="1"/>
    <col min="2" max="2" width="15.83203125" customWidth="1"/>
    <col min="3" max="3" width="16.1640625" customWidth="1"/>
    <col min="4" max="4" width="14.6640625" customWidth="1"/>
    <col min="6" max="6" width="15.83203125" customWidth="1"/>
    <col min="7" max="7" width="13.6640625" customWidth="1"/>
    <col min="8" max="8" width="14.6640625" customWidth="1"/>
    <col min="10" max="10" width="13" customWidth="1"/>
    <col min="11" max="11" width="12.83203125" customWidth="1"/>
    <col min="12" max="12" width="15.1640625" customWidth="1"/>
  </cols>
  <sheetData>
    <row r="1" spans="1:17" x14ac:dyDescent="0.2">
      <c r="A1" t="s">
        <v>28</v>
      </c>
    </row>
    <row r="4" spans="1:17" x14ac:dyDescent="0.2">
      <c r="A4" t="s">
        <v>18</v>
      </c>
      <c r="B4" s="6" t="s">
        <v>13</v>
      </c>
      <c r="C4" s="5" t="s">
        <v>0</v>
      </c>
      <c r="D4" s="4" t="s">
        <v>1</v>
      </c>
      <c r="E4" t="s">
        <v>18</v>
      </c>
      <c r="F4" s="6" t="s">
        <v>2</v>
      </c>
      <c r="G4" s="5" t="s">
        <v>0</v>
      </c>
      <c r="H4" s="4" t="s">
        <v>1</v>
      </c>
      <c r="I4" t="s">
        <v>18</v>
      </c>
      <c r="J4" s="6" t="s">
        <v>3</v>
      </c>
      <c r="K4" s="5" t="s">
        <v>0</v>
      </c>
      <c r="L4" s="4" t="s">
        <v>1</v>
      </c>
    </row>
    <row r="5" spans="1:17" x14ac:dyDescent="0.2">
      <c r="A5" t="s">
        <v>4</v>
      </c>
      <c r="B5" s="8">
        <v>1</v>
      </c>
      <c r="C5">
        <v>827</v>
      </c>
      <c r="D5">
        <v>1059</v>
      </c>
      <c r="E5" t="s">
        <v>4</v>
      </c>
      <c r="F5">
        <v>1</v>
      </c>
      <c r="G5">
        <v>929</v>
      </c>
      <c r="H5">
        <v>1190</v>
      </c>
      <c r="I5" t="s">
        <v>4</v>
      </c>
      <c r="J5">
        <v>1</v>
      </c>
      <c r="K5">
        <v>394</v>
      </c>
      <c r="L5">
        <v>514</v>
      </c>
      <c r="N5" t="s">
        <v>18</v>
      </c>
      <c r="O5" t="s">
        <v>19</v>
      </c>
      <c r="P5" t="s">
        <v>14</v>
      </c>
      <c r="Q5" t="s">
        <v>3</v>
      </c>
    </row>
    <row r="6" spans="1:17" x14ac:dyDescent="0.2">
      <c r="B6" s="8">
        <v>2</v>
      </c>
      <c r="C6">
        <v>831</v>
      </c>
      <c r="D6">
        <v>1067</v>
      </c>
      <c r="F6">
        <v>2</v>
      </c>
      <c r="G6">
        <v>930</v>
      </c>
      <c r="H6">
        <v>1124</v>
      </c>
      <c r="J6">
        <v>2</v>
      </c>
      <c r="K6">
        <v>396</v>
      </c>
      <c r="L6">
        <v>492</v>
      </c>
      <c r="N6" t="s">
        <v>0</v>
      </c>
      <c r="O6">
        <v>828.8</v>
      </c>
      <c r="P6">
        <v>923</v>
      </c>
      <c r="Q6">
        <v>396</v>
      </c>
    </row>
    <row r="7" spans="1:17" x14ac:dyDescent="0.2">
      <c r="B7" s="8">
        <v>3</v>
      </c>
      <c r="C7">
        <v>818</v>
      </c>
      <c r="D7">
        <v>1070</v>
      </c>
      <c r="F7">
        <v>3</v>
      </c>
      <c r="G7">
        <v>901</v>
      </c>
      <c r="H7">
        <v>1124</v>
      </c>
      <c r="J7">
        <v>3</v>
      </c>
      <c r="K7">
        <v>404</v>
      </c>
      <c r="L7">
        <v>510</v>
      </c>
      <c r="N7" t="s">
        <v>1</v>
      </c>
      <c r="O7">
        <v>1073</v>
      </c>
      <c r="P7">
        <v>1136.4000000000001</v>
      </c>
      <c r="Q7">
        <v>505.8</v>
      </c>
    </row>
    <row r="8" spans="1:17" x14ac:dyDescent="0.2">
      <c r="B8" s="8">
        <v>4</v>
      </c>
      <c r="C8">
        <v>816</v>
      </c>
      <c r="D8">
        <v>1071</v>
      </c>
      <c r="F8">
        <v>4</v>
      </c>
      <c r="G8">
        <v>919</v>
      </c>
      <c r="H8">
        <v>1123</v>
      </c>
      <c r="J8">
        <v>4</v>
      </c>
      <c r="K8">
        <v>386</v>
      </c>
      <c r="L8">
        <v>518</v>
      </c>
      <c r="N8" t="s">
        <v>10</v>
      </c>
      <c r="O8">
        <v>955</v>
      </c>
      <c r="P8">
        <v>1030</v>
      </c>
      <c r="Q8">
        <v>452</v>
      </c>
    </row>
    <row r="9" spans="1:17" x14ac:dyDescent="0.2">
      <c r="B9" s="8">
        <v>5</v>
      </c>
      <c r="C9">
        <v>852</v>
      </c>
      <c r="D9">
        <v>1098</v>
      </c>
      <c r="F9">
        <v>5</v>
      </c>
      <c r="G9">
        <v>936</v>
      </c>
      <c r="H9">
        <v>1121</v>
      </c>
      <c r="J9">
        <v>5</v>
      </c>
      <c r="K9">
        <v>400</v>
      </c>
      <c r="L9">
        <v>495</v>
      </c>
    </row>
    <row r="10" spans="1:17" x14ac:dyDescent="0.2">
      <c r="A10" t="s">
        <v>5</v>
      </c>
      <c r="C10" s="5">
        <f>AVERAGE(C5:C9)</f>
        <v>828.8</v>
      </c>
      <c r="D10" s="4">
        <f>AVERAGE(D5:D9)</f>
        <v>1073</v>
      </c>
      <c r="E10" t="s">
        <v>5</v>
      </c>
      <c r="G10" s="5">
        <f>AVERAGE(G5:G9)</f>
        <v>923</v>
      </c>
      <c r="H10" s="4">
        <f>AVERAGE(H5:H9)</f>
        <v>1136.4000000000001</v>
      </c>
      <c r="I10" t="s">
        <v>5</v>
      </c>
      <c r="K10" s="5">
        <f>AVERAGE(K5:K9)</f>
        <v>396</v>
      </c>
      <c r="L10" s="4">
        <f>AVERAGE(L5:L9)</f>
        <v>505.8</v>
      </c>
    </row>
    <row r="11" spans="1:17" x14ac:dyDescent="0.2">
      <c r="A11" s="9" t="s">
        <v>8</v>
      </c>
      <c r="B11" s="9">
        <v>955</v>
      </c>
      <c r="E11" s="9" t="s">
        <v>8</v>
      </c>
      <c r="F11" s="9">
        <v>1030</v>
      </c>
      <c r="I11" s="9" t="s">
        <v>8</v>
      </c>
      <c r="J11" s="9">
        <v>452</v>
      </c>
    </row>
    <row r="20" spans="1:12" x14ac:dyDescent="0.2">
      <c r="A20" t="s">
        <v>27</v>
      </c>
    </row>
    <row r="23" spans="1:12" x14ac:dyDescent="0.2">
      <c r="A23" t="s">
        <v>18</v>
      </c>
      <c r="B23" s="6" t="s">
        <v>13</v>
      </c>
      <c r="C23" s="5" t="s">
        <v>0</v>
      </c>
      <c r="D23" s="4" t="s">
        <v>1</v>
      </c>
      <c r="E23" t="s">
        <v>18</v>
      </c>
      <c r="F23" s="6" t="s">
        <v>2</v>
      </c>
      <c r="G23" s="5" t="s">
        <v>0</v>
      </c>
      <c r="H23" s="4" t="s">
        <v>1</v>
      </c>
      <c r="I23" t="s">
        <v>18</v>
      </c>
      <c r="J23" s="6" t="s">
        <v>3</v>
      </c>
      <c r="K23" s="5" t="s">
        <v>0</v>
      </c>
      <c r="L23" s="4" t="s">
        <v>1</v>
      </c>
    </row>
    <row r="24" spans="1:12" x14ac:dyDescent="0.2">
      <c r="A24" t="s">
        <v>4</v>
      </c>
      <c r="B24" s="8">
        <v>1</v>
      </c>
      <c r="C24">
        <v>312</v>
      </c>
      <c r="D24">
        <v>414</v>
      </c>
      <c r="E24" t="s">
        <v>4</v>
      </c>
      <c r="F24">
        <v>1</v>
      </c>
      <c r="I24" t="s">
        <v>4</v>
      </c>
      <c r="J24">
        <v>1</v>
      </c>
    </row>
    <row r="25" spans="1:12" x14ac:dyDescent="0.2">
      <c r="B25" s="8">
        <v>2</v>
      </c>
      <c r="C25">
        <v>297</v>
      </c>
      <c r="D25">
        <v>426</v>
      </c>
      <c r="F25">
        <v>2</v>
      </c>
      <c r="J25">
        <v>2</v>
      </c>
    </row>
    <row r="26" spans="1:12" x14ac:dyDescent="0.2">
      <c r="B26" s="8">
        <v>3</v>
      </c>
      <c r="C26">
        <v>311</v>
      </c>
      <c r="D26">
        <v>406</v>
      </c>
      <c r="F26">
        <v>3</v>
      </c>
      <c r="J26">
        <v>3</v>
      </c>
    </row>
    <row r="27" spans="1:12" x14ac:dyDescent="0.2">
      <c r="B27" s="8">
        <v>4</v>
      </c>
      <c r="C27">
        <v>299</v>
      </c>
      <c r="D27">
        <v>426</v>
      </c>
      <c r="F27">
        <v>4</v>
      </c>
      <c r="J27">
        <v>4</v>
      </c>
    </row>
    <row r="28" spans="1:12" x14ac:dyDescent="0.2">
      <c r="B28" s="8">
        <v>5</v>
      </c>
      <c r="C28">
        <v>297</v>
      </c>
      <c r="D28">
        <v>437</v>
      </c>
      <c r="F28">
        <v>5</v>
      </c>
      <c r="J28">
        <v>5</v>
      </c>
    </row>
    <row r="29" spans="1:12" x14ac:dyDescent="0.2">
      <c r="A29" t="s">
        <v>5</v>
      </c>
      <c r="C29" s="5">
        <f>AVERAGE(C24:C28)</f>
        <v>303.2</v>
      </c>
      <c r="D29" s="4">
        <v>421.8</v>
      </c>
      <c r="E29" t="s">
        <v>5</v>
      </c>
      <c r="G29" s="5"/>
      <c r="H29" s="4"/>
      <c r="I29" t="s">
        <v>5</v>
      </c>
      <c r="K29" s="5"/>
      <c r="L29" s="4"/>
    </row>
    <row r="30" spans="1:12" x14ac:dyDescent="0.2">
      <c r="A30" s="9" t="s">
        <v>8</v>
      </c>
      <c r="B30" s="9">
        <v>362</v>
      </c>
      <c r="E30" s="9"/>
      <c r="F30" s="9"/>
      <c r="I30" s="9"/>
      <c r="J30" s="9"/>
    </row>
    <row r="32" spans="1:12" x14ac:dyDescent="0.2">
      <c r="B32" s="2">
        <v>0.62</v>
      </c>
      <c r="C32" s="2">
        <v>0.63</v>
      </c>
      <c r="D32" s="2">
        <v>0.61</v>
      </c>
    </row>
    <row r="51" spans="1:12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68" spans="1:17" x14ac:dyDescent="0.2">
      <c r="A68" s="8"/>
      <c r="B68" s="8"/>
      <c r="C68" s="8"/>
      <c r="D68" s="8"/>
      <c r="E68" s="10"/>
      <c r="F68" s="8"/>
      <c r="G68" s="8"/>
      <c r="H68" s="10"/>
      <c r="I68" s="8"/>
      <c r="J68" s="8"/>
      <c r="K68" s="1"/>
      <c r="L68" s="2"/>
    </row>
    <row r="69" spans="1:17" x14ac:dyDescent="0.2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7" x14ac:dyDescent="0.2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7" x14ac:dyDescent="0.2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7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N72" s="1"/>
      <c r="O72" s="2"/>
      <c r="Q72" s="2"/>
    </row>
    <row r="73" spans="1:17" x14ac:dyDescent="0.2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7" x14ac:dyDescent="0.2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7" x14ac:dyDescent="0.2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7" x14ac:dyDescent="0.2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7" x14ac:dyDescent="0.2">
      <c r="A77" s="8"/>
      <c r="B77" s="8"/>
      <c r="C77" s="8"/>
      <c r="D77" s="8"/>
      <c r="E77" s="10"/>
      <c r="F77" s="8"/>
      <c r="G77" s="8"/>
      <c r="H77" s="10"/>
      <c r="I77" s="8"/>
      <c r="J77" s="8"/>
    </row>
    <row r="78" spans="1:17" x14ac:dyDescent="0.2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7" x14ac:dyDescent="0.2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7" x14ac:dyDescent="0.2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7" x14ac:dyDescent="0.2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7" x14ac:dyDescent="0.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7" x14ac:dyDescent="0.2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7" x14ac:dyDescent="0.2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7" x14ac:dyDescent="0.2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7" x14ac:dyDescent="0.2">
      <c r="A86" s="8"/>
      <c r="B86" s="8"/>
      <c r="C86" s="8"/>
      <c r="D86" s="8"/>
      <c r="E86" s="10"/>
      <c r="F86" s="8"/>
      <c r="G86" s="8"/>
      <c r="H86" s="10"/>
      <c r="I86" s="8"/>
      <c r="J86" s="8"/>
    </row>
    <row r="87" spans="1:17" x14ac:dyDescent="0.2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7" x14ac:dyDescent="0.2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7" x14ac:dyDescent="0.2">
      <c r="A89" s="8"/>
      <c r="B89" s="11"/>
      <c r="C89" s="11"/>
      <c r="D89" s="11"/>
      <c r="E89" s="10"/>
      <c r="F89" s="11"/>
      <c r="G89" s="11"/>
      <c r="H89" s="10"/>
      <c r="I89" s="11"/>
      <c r="J89" s="11"/>
      <c r="K89" s="2"/>
    </row>
    <row r="90" spans="1:17" x14ac:dyDescent="0.2">
      <c r="A90" s="8"/>
      <c r="B90" s="8"/>
      <c r="C90" s="11"/>
      <c r="D90" s="11"/>
      <c r="E90" s="8"/>
      <c r="F90" s="11"/>
      <c r="G90" s="11"/>
      <c r="H90" s="8"/>
      <c r="I90" s="11"/>
      <c r="J90" s="11"/>
      <c r="K90" s="2"/>
    </row>
    <row r="91" spans="1:17" x14ac:dyDescent="0.2">
      <c r="A91" s="8"/>
      <c r="B91" s="8"/>
      <c r="C91" s="11"/>
      <c r="D91" s="11"/>
      <c r="E91" s="8"/>
      <c r="F91" s="11"/>
      <c r="G91" s="11"/>
      <c r="H91" s="8"/>
      <c r="I91" s="11"/>
      <c r="J91" s="11"/>
    </row>
    <row r="92" spans="1:17" x14ac:dyDescent="0.2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7" x14ac:dyDescent="0.2">
      <c r="A93" s="8"/>
      <c r="B93" s="8"/>
      <c r="C93" s="8"/>
      <c r="D93" s="8"/>
      <c r="E93" s="8"/>
      <c r="F93" s="8"/>
      <c r="G93" s="8"/>
      <c r="H93" s="8"/>
      <c r="I93" s="8"/>
      <c r="J93" s="8"/>
    </row>
    <row r="96" spans="1:17" x14ac:dyDescent="0.2">
      <c r="B96" s="2"/>
      <c r="C96" s="2"/>
      <c r="D96" s="2"/>
      <c r="E96" s="2"/>
      <c r="H96" s="2"/>
      <c r="I96" s="2"/>
      <c r="J96" s="2"/>
      <c r="K96" s="2"/>
      <c r="N96" s="2"/>
      <c r="O96" s="2"/>
      <c r="P96" s="2"/>
      <c r="Q96" s="2"/>
    </row>
    <row r="97" spans="7:13" x14ac:dyDescent="0.2">
      <c r="G97" s="2"/>
      <c r="I97" s="3"/>
      <c r="J97" s="3"/>
      <c r="K97" s="3"/>
      <c r="M97" s="2"/>
    </row>
    <row r="99" spans="7:13" x14ac:dyDescent="0.2">
      <c r="K99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38"/>
  <sheetViews>
    <sheetView topLeftCell="A21" zoomScale="91" workbookViewId="0">
      <selection activeCell="J62" sqref="A62:XFD62"/>
    </sheetView>
  </sheetViews>
  <sheetFormatPr baseColWidth="10" defaultRowHeight="16" x14ac:dyDescent="0.2"/>
  <sheetData>
    <row r="4" spans="1:10" x14ac:dyDescent="0.2">
      <c r="A4" t="s">
        <v>15</v>
      </c>
      <c r="B4" s="6" t="s">
        <v>7</v>
      </c>
      <c r="C4" s="5" t="s">
        <v>0</v>
      </c>
      <c r="D4" s="4" t="s">
        <v>6</v>
      </c>
      <c r="E4" s="7">
        <v>0.4</v>
      </c>
      <c r="F4" s="5" t="s">
        <v>0</v>
      </c>
      <c r="G4" s="4" t="s">
        <v>6</v>
      </c>
      <c r="H4" s="7">
        <v>0.7</v>
      </c>
      <c r="I4" s="5" t="s">
        <v>0</v>
      </c>
      <c r="J4" s="4" t="s">
        <v>6</v>
      </c>
    </row>
    <row r="5" spans="1:10" x14ac:dyDescent="0.2">
      <c r="A5" t="s">
        <v>4</v>
      </c>
      <c r="B5">
        <v>1</v>
      </c>
      <c r="C5">
        <v>934</v>
      </c>
      <c r="D5">
        <v>1120</v>
      </c>
      <c r="F5">
        <v>916</v>
      </c>
      <c r="G5">
        <v>1107</v>
      </c>
      <c r="I5">
        <v>901</v>
      </c>
      <c r="J5">
        <v>1077</v>
      </c>
    </row>
    <row r="6" spans="1:10" x14ac:dyDescent="0.2">
      <c r="B6">
        <v>2</v>
      </c>
      <c r="C6">
        <v>933</v>
      </c>
      <c r="D6">
        <v>1138</v>
      </c>
      <c r="F6">
        <v>886</v>
      </c>
      <c r="G6">
        <v>1086</v>
      </c>
      <c r="I6">
        <v>889</v>
      </c>
      <c r="J6">
        <v>1097</v>
      </c>
    </row>
    <row r="7" spans="1:10" x14ac:dyDescent="0.2">
      <c r="B7">
        <v>3</v>
      </c>
      <c r="C7">
        <v>919</v>
      </c>
      <c r="D7">
        <v>1121</v>
      </c>
      <c r="F7">
        <v>916</v>
      </c>
      <c r="G7">
        <v>1134</v>
      </c>
      <c r="I7">
        <v>880</v>
      </c>
      <c r="J7">
        <v>1112</v>
      </c>
    </row>
    <row r="8" spans="1:10" x14ac:dyDescent="0.2">
      <c r="B8">
        <v>4</v>
      </c>
      <c r="C8">
        <v>896</v>
      </c>
      <c r="D8">
        <v>1110</v>
      </c>
      <c r="F8">
        <v>866</v>
      </c>
      <c r="G8">
        <v>1113</v>
      </c>
      <c r="I8">
        <v>878</v>
      </c>
      <c r="J8">
        <v>1073</v>
      </c>
    </row>
    <row r="9" spans="1:10" x14ac:dyDescent="0.2">
      <c r="B9">
        <v>5</v>
      </c>
      <c r="C9">
        <v>907</v>
      </c>
      <c r="D9">
        <v>1111</v>
      </c>
      <c r="F9">
        <v>909</v>
      </c>
      <c r="G9">
        <v>1097</v>
      </c>
      <c r="I9">
        <v>865</v>
      </c>
      <c r="J9">
        <v>1101</v>
      </c>
    </row>
    <row r="10" spans="1:10" x14ac:dyDescent="0.2">
      <c r="A10" t="s">
        <v>5</v>
      </c>
      <c r="C10" s="5">
        <f>AVERAGE(C5:C9)</f>
        <v>917.8</v>
      </c>
      <c r="D10" s="4">
        <f>AVERAGE(D5:D9)</f>
        <v>1120</v>
      </c>
      <c r="F10" s="5">
        <f>AVERAGE(F5:F9)</f>
        <v>898.6</v>
      </c>
      <c r="G10" s="4">
        <f>AVERAGE(G5:G9)</f>
        <v>1107.4000000000001</v>
      </c>
      <c r="I10" s="5">
        <f>AVERAGE(I5:I9)</f>
        <v>882.6</v>
      </c>
      <c r="J10" s="4">
        <f>AVERAGE(J5:J9)</f>
        <v>1092</v>
      </c>
    </row>
    <row r="11" spans="1:10" x14ac:dyDescent="0.2">
      <c r="A11" s="9" t="s">
        <v>8</v>
      </c>
      <c r="B11" s="9">
        <v>1024</v>
      </c>
      <c r="E11" s="9">
        <v>1009</v>
      </c>
      <c r="H11" s="9">
        <v>987</v>
      </c>
    </row>
    <row r="13" spans="1:10" x14ac:dyDescent="0.2">
      <c r="A13" t="s">
        <v>16</v>
      </c>
      <c r="B13" s="6" t="s">
        <v>9</v>
      </c>
      <c r="C13" s="5" t="s">
        <v>0</v>
      </c>
      <c r="D13" s="4" t="s">
        <v>6</v>
      </c>
      <c r="E13" s="7">
        <v>0.4</v>
      </c>
      <c r="F13" s="5" t="s">
        <v>0</v>
      </c>
      <c r="G13" s="4" t="s">
        <v>6</v>
      </c>
      <c r="H13" s="7">
        <v>0.7</v>
      </c>
      <c r="I13" s="5" t="s">
        <v>0</v>
      </c>
      <c r="J13" s="4" t="s">
        <v>6</v>
      </c>
    </row>
    <row r="14" spans="1:10" x14ac:dyDescent="0.2">
      <c r="A14" t="s">
        <v>4</v>
      </c>
      <c r="B14">
        <v>1</v>
      </c>
      <c r="C14">
        <v>419</v>
      </c>
      <c r="D14">
        <v>566</v>
      </c>
      <c r="F14">
        <v>552</v>
      </c>
      <c r="G14">
        <v>761</v>
      </c>
      <c r="I14">
        <v>685</v>
      </c>
      <c r="J14">
        <v>891</v>
      </c>
    </row>
    <row r="15" spans="1:10" x14ac:dyDescent="0.2">
      <c r="B15">
        <v>2</v>
      </c>
      <c r="C15">
        <v>440</v>
      </c>
      <c r="D15">
        <v>569</v>
      </c>
      <c r="F15">
        <v>562</v>
      </c>
      <c r="G15">
        <v>743</v>
      </c>
      <c r="I15">
        <v>680</v>
      </c>
      <c r="J15">
        <v>958</v>
      </c>
    </row>
    <row r="16" spans="1:10" x14ac:dyDescent="0.2">
      <c r="B16">
        <v>3</v>
      </c>
      <c r="C16">
        <v>442</v>
      </c>
      <c r="D16">
        <v>581</v>
      </c>
      <c r="F16">
        <v>532</v>
      </c>
      <c r="G16">
        <v>771</v>
      </c>
      <c r="I16">
        <v>703</v>
      </c>
      <c r="J16">
        <v>938</v>
      </c>
    </row>
    <row r="17" spans="1:10" x14ac:dyDescent="0.2">
      <c r="B17">
        <v>4</v>
      </c>
      <c r="C17">
        <v>414</v>
      </c>
      <c r="D17">
        <v>585</v>
      </c>
      <c r="F17">
        <v>570</v>
      </c>
      <c r="G17">
        <v>765</v>
      </c>
      <c r="I17">
        <v>668</v>
      </c>
      <c r="J17">
        <v>912</v>
      </c>
    </row>
    <row r="18" spans="1:10" x14ac:dyDescent="0.2">
      <c r="B18">
        <v>5</v>
      </c>
      <c r="C18">
        <v>452</v>
      </c>
      <c r="D18">
        <v>588</v>
      </c>
      <c r="F18">
        <v>570</v>
      </c>
      <c r="G18">
        <v>771</v>
      </c>
      <c r="I18">
        <v>668</v>
      </c>
      <c r="J18">
        <v>916</v>
      </c>
    </row>
    <row r="19" spans="1:10" x14ac:dyDescent="0.2">
      <c r="A19" t="s">
        <v>5</v>
      </c>
      <c r="C19" s="5">
        <f>AVERAGE(C14:C18)</f>
        <v>433.4</v>
      </c>
      <c r="D19" s="4">
        <f>AVERAGE(D14:D18)</f>
        <v>577.79999999999995</v>
      </c>
      <c r="F19" s="5">
        <f>AVERAGE(F14:F18)</f>
        <v>557.20000000000005</v>
      </c>
      <c r="G19" s="4">
        <f>AVERAGE(G14:G18)</f>
        <v>762.2</v>
      </c>
      <c r="I19" s="5">
        <f>AVERAGE(I14:I18)</f>
        <v>680.8</v>
      </c>
      <c r="J19" s="4">
        <f>AVERAGE(J14:J18)</f>
        <v>923</v>
      </c>
    </row>
    <row r="20" spans="1:10" x14ac:dyDescent="0.2">
      <c r="A20" s="9" t="s">
        <v>8</v>
      </c>
      <c r="B20" s="9">
        <v>508</v>
      </c>
      <c r="E20" s="9">
        <v>664</v>
      </c>
      <c r="H20" s="9">
        <v>813</v>
      </c>
    </row>
    <row r="22" spans="1:10" x14ac:dyDescent="0.2">
      <c r="A22" t="s">
        <v>17</v>
      </c>
      <c r="B22" s="6" t="s">
        <v>12</v>
      </c>
      <c r="C22" s="5" t="s">
        <v>0</v>
      </c>
      <c r="D22" s="4" t="s">
        <v>11</v>
      </c>
      <c r="E22" s="7">
        <v>0.4</v>
      </c>
      <c r="F22" s="5" t="s">
        <v>0</v>
      </c>
      <c r="G22" s="4" t="s">
        <v>11</v>
      </c>
      <c r="H22" s="7">
        <v>0.7</v>
      </c>
      <c r="I22" s="5" t="s">
        <v>0</v>
      </c>
      <c r="J22" s="4" t="s">
        <v>11</v>
      </c>
    </row>
    <row r="23" spans="1:10" x14ac:dyDescent="0.2">
      <c r="A23" t="s">
        <v>4</v>
      </c>
      <c r="B23">
        <v>1</v>
      </c>
      <c r="C23">
        <v>829</v>
      </c>
      <c r="D23">
        <v>1081</v>
      </c>
      <c r="F23">
        <v>841</v>
      </c>
      <c r="G23">
        <v>1083</v>
      </c>
      <c r="I23">
        <v>791</v>
      </c>
      <c r="J23">
        <v>1070</v>
      </c>
    </row>
    <row r="24" spans="1:10" x14ac:dyDescent="0.2">
      <c r="B24">
        <v>2</v>
      </c>
      <c r="C24">
        <v>823</v>
      </c>
      <c r="D24">
        <v>1080</v>
      </c>
      <c r="F24">
        <v>819</v>
      </c>
      <c r="G24">
        <v>1080</v>
      </c>
      <c r="I24">
        <v>830</v>
      </c>
      <c r="J24">
        <v>1036</v>
      </c>
    </row>
    <row r="25" spans="1:10" x14ac:dyDescent="0.2">
      <c r="B25" s="3">
        <v>3</v>
      </c>
      <c r="C25" s="3">
        <v>805</v>
      </c>
      <c r="D25" s="3">
        <v>1079</v>
      </c>
      <c r="E25" s="2"/>
      <c r="F25" s="3">
        <v>778</v>
      </c>
      <c r="G25" s="3">
        <v>1061</v>
      </c>
      <c r="H25" s="2"/>
      <c r="I25" s="3">
        <v>780</v>
      </c>
      <c r="J25" s="3">
        <v>1055</v>
      </c>
    </row>
    <row r="26" spans="1:10" x14ac:dyDescent="0.2">
      <c r="B26">
        <v>4</v>
      </c>
      <c r="C26" s="3">
        <v>821</v>
      </c>
      <c r="D26" s="3">
        <v>1069</v>
      </c>
      <c r="F26" s="3">
        <v>809</v>
      </c>
      <c r="G26" s="3">
        <v>1073</v>
      </c>
      <c r="I26" s="3">
        <v>789</v>
      </c>
      <c r="J26" s="3">
        <v>1084</v>
      </c>
    </row>
    <row r="27" spans="1:10" x14ac:dyDescent="0.2">
      <c r="B27">
        <v>5</v>
      </c>
      <c r="C27" s="3">
        <v>814</v>
      </c>
      <c r="D27" s="3">
        <v>1048</v>
      </c>
      <c r="F27" s="3">
        <v>817</v>
      </c>
      <c r="G27" s="3">
        <v>1085</v>
      </c>
      <c r="I27" s="3">
        <v>816</v>
      </c>
      <c r="J27" s="3">
        <v>1087</v>
      </c>
    </row>
    <row r="28" spans="1:10" x14ac:dyDescent="0.2">
      <c r="A28" t="s">
        <v>5</v>
      </c>
      <c r="C28" s="5">
        <f>AVERAGE(C23:C27)</f>
        <v>818.4</v>
      </c>
      <c r="D28" s="4">
        <f>AVERAGE(D23:D27)</f>
        <v>1071.4000000000001</v>
      </c>
      <c r="F28" s="5">
        <f>AVERAGE(F23:F27)</f>
        <v>812.8</v>
      </c>
      <c r="G28" s="4">
        <f>AVERAGE(G23:G27)</f>
        <v>1076.4000000000001</v>
      </c>
      <c r="I28" s="5">
        <f>AVERAGE(I23:I27)</f>
        <v>801.2</v>
      </c>
      <c r="J28" s="4">
        <f>AVERAGE(J23:J27)</f>
        <v>1066.4000000000001</v>
      </c>
    </row>
    <row r="29" spans="1:10" x14ac:dyDescent="0.2">
      <c r="A29" s="9" t="s">
        <v>8</v>
      </c>
      <c r="B29" s="9">
        <v>949</v>
      </c>
      <c r="E29" s="9">
        <v>949</v>
      </c>
      <c r="H29" s="9">
        <v>944</v>
      </c>
    </row>
    <row r="35" spans="1:17" x14ac:dyDescent="0.2">
      <c r="A35" t="s">
        <v>13</v>
      </c>
      <c r="B35" s="2">
        <v>0</v>
      </c>
      <c r="C35" s="2">
        <v>0.1</v>
      </c>
      <c r="D35" s="2">
        <v>0.4</v>
      </c>
      <c r="E35" s="2">
        <v>0.7</v>
      </c>
      <c r="G35" t="s">
        <v>14</v>
      </c>
      <c r="H35" s="2">
        <v>0</v>
      </c>
      <c r="I35" s="2">
        <v>0.1</v>
      </c>
      <c r="J35" s="2">
        <v>0.4</v>
      </c>
      <c r="K35" s="2">
        <v>0.7</v>
      </c>
      <c r="M35" t="s">
        <v>3</v>
      </c>
      <c r="N35" s="2">
        <v>0</v>
      </c>
      <c r="O35" s="2">
        <v>0.1</v>
      </c>
      <c r="P35" s="2">
        <v>0.4</v>
      </c>
      <c r="Q35" s="2">
        <v>0.7</v>
      </c>
    </row>
    <row r="36" spans="1:17" x14ac:dyDescent="0.2">
      <c r="A36" t="s">
        <v>0</v>
      </c>
      <c r="B36">
        <v>828.8</v>
      </c>
      <c r="C36">
        <v>818.4</v>
      </c>
      <c r="D36">
        <v>877</v>
      </c>
      <c r="E36">
        <v>801.2</v>
      </c>
      <c r="G36" s="2" t="s">
        <v>0</v>
      </c>
      <c r="H36">
        <v>923</v>
      </c>
      <c r="I36" s="3">
        <v>917.8</v>
      </c>
      <c r="J36" s="3">
        <v>898.6</v>
      </c>
      <c r="K36" s="3">
        <v>882.6</v>
      </c>
      <c r="M36" s="2" t="s">
        <v>0</v>
      </c>
      <c r="N36">
        <v>396</v>
      </c>
      <c r="O36">
        <v>433.4</v>
      </c>
      <c r="P36">
        <v>557.20000000000005</v>
      </c>
      <c r="Q36">
        <v>680.8</v>
      </c>
    </row>
    <row r="37" spans="1:17" x14ac:dyDescent="0.2">
      <c r="A37" t="s">
        <v>1</v>
      </c>
      <c r="B37">
        <v>1073</v>
      </c>
      <c r="C37">
        <v>1071.4000000000001</v>
      </c>
      <c r="D37">
        <v>1076.4000000000001</v>
      </c>
      <c r="E37">
        <v>1066.4000000000001</v>
      </c>
      <c r="G37" t="s">
        <v>1</v>
      </c>
      <c r="H37">
        <v>1136.4000000000001</v>
      </c>
      <c r="I37">
        <v>1120</v>
      </c>
      <c r="J37">
        <v>1107.4000000000001</v>
      </c>
      <c r="K37">
        <v>1092</v>
      </c>
      <c r="M37" t="s">
        <v>1</v>
      </c>
      <c r="N37">
        <v>505.8</v>
      </c>
      <c r="O37">
        <v>577.79999999999995</v>
      </c>
      <c r="P37">
        <v>762.2</v>
      </c>
      <c r="Q37">
        <v>923</v>
      </c>
    </row>
    <row r="38" spans="1:17" x14ac:dyDescent="0.2">
      <c r="A38" t="s">
        <v>10</v>
      </c>
      <c r="B38">
        <v>955</v>
      </c>
      <c r="C38">
        <v>949</v>
      </c>
      <c r="D38">
        <v>949</v>
      </c>
      <c r="E38">
        <v>944</v>
      </c>
      <c r="G38" t="s">
        <v>10</v>
      </c>
      <c r="H38">
        <v>1030</v>
      </c>
      <c r="I38">
        <v>1024</v>
      </c>
      <c r="J38">
        <v>1009</v>
      </c>
      <c r="K38" s="8">
        <v>987</v>
      </c>
      <c r="M38" t="s">
        <v>10</v>
      </c>
      <c r="N38">
        <v>452</v>
      </c>
      <c r="O38">
        <v>508</v>
      </c>
      <c r="P38">
        <v>664</v>
      </c>
      <c r="Q38">
        <v>813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30"/>
  <sheetViews>
    <sheetView zoomScale="83" workbookViewId="0">
      <selection activeCell="N31" sqref="N31"/>
    </sheetView>
  </sheetViews>
  <sheetFormatPr baseColWidth="10" defaultRowHeight="16" x14ac:dyDescent="0.2"/>
  <sheetData>
    <row r="5" spans="1:16" x14ac:dyDescent="0.2">
      <c r="A5" t="s">
        <v>20</v>
      </c>
      <c r="B5" s="6" t="s">
        <v>21</v>
      </c>
      <c r="C5" s="5" t="s">
        <v>0</v>
      </c>
      <c r="D5" s="4" t="s">
        <v>22</v>
      </c>
      <c r="E5" s="7">
        <v>0.8</v>
      </c>
      <c r="F5" s="5" t="s">
        <v>0</v>
      </c>
      <c r="G5" s="4" t="s">
        <v>22</v>
      </c>
      <c r="H5" s="7">
        <v>0.9</v>
      </c>
      <c r="I5" s="5" t="s">
        <v>0</v>
      </c>
      <c r="J5" s="4" t="s">
        <v>22</v>
      </c>
      <c r="M5" t="s">
        <v>26</v>
      </c>
      <c r="N5" s="12">
        <v>0.66669999999999996</v>
      </c>
      <c r="O5" s="2">
        <v>0.8</v>
      </c>
      <c r="P5" s="2">
        <v>0.9</v>
      </c>
    </row>
    <row r="6" spans="1:16" x14ac:dyDescent="0.2">
      <c r="B6">
        <v>1</v>
      </c>
      <c r="C6">
        <v>980</v>
      </c>
      <c r="D6">
        <v>1198</v>
      </c>
      <c r="F6">
        <v>1072</v>
      </c>
      <c r="G6">
        <v>1340</v>
      </c>
      <c r="I6">
        <v>1149</v>
      </c>
      <c r="J6">
        <v>1400</v>
      </c>
      <c r="L6" t="s">
        <v>0</v>
      </c>
      <c r="M6">
        <v>828.8</v>
      </c>
      <c r="N6">
        <v>955</v>
      </c>
      <c r="O6">
        <v>1046.5999999999999</v>
      </c>
      <c r="P6">
        <v>1139.2</v>
      </c>
    </row>
    <row r="7" spans="1:16" x14ac:dyDescent="0.2">
      <c r="B7">
        <v>2</v>
      </c>
      <c r="C7">
        <v>944</v>
      </c>
      <c r="D7">
        <v>1207</v>
      </c>
      <c r="F7">
        <v>1060</v>
      </c>
      <c r="G7">
        <v>1333</v>
      </c>
      <c r="I7">
        <v>1104</v>
      </c>
      <c r="J7">
        <v>1402</v>
      </c>
      <c r="L7" t="s">
        <v>22</v>
      </c>
      <c r="M7">
        <v>1073</v>
      </c>
      <c r="N7">
        <v>1208</v>
      </c>
      <c r="O7">
        <v>1328.4</v>
      </c>
      <c r="P7">
        <v>1414.2</v>
      </c>
    </row>
    <row r="8" spans="1:16" x14ac:dyDescent="0.2">
      <c r="B8">
        <v>3</v>
      </c>
      <c r="C8">
        <v>938</v>
      </c>
      <c r="D8">
        <v>1186</v>
      </c>
      <c r="F8">
        <v>1048</v>
      </c>
      <c r="G8">
        <v>1323</v>
      </c>
      <c r="I8">
        <v>1141</v>
      </c>
      <c r="J8">
        <v>1419</v>
      </c>
      <c r="L8" t="s">
        <v>8</v>
      </c>
      <c r="M8">
        <v>955</v>
      </c>
      <c r="N8">
        <v>1093</v>
      </c>
      <c r="O8">
        <v>1203</v>
      </c>
      <c r="P8">
        <v>1286</v>
      </c>
    </row>
    <row r="9" spans="1:16" x14ac:dyDescent="0.2">
      <c r="B9">
        <v>4</v>
      </c>
      <c r="C9">
        <v>964</v>
      </c>
      <c r="D9">
        <v>1223</v>
      </c>
      <c r="F9">
        <v>1035</v>
      </c>
      <c r="G9">
        <v>1321</v>
      </c>
      <c r="I9">
        <v>1176</v>
      </c>
      <c r="J9">
        <v>1430</v>
      </c>
    </row>
    <row r="10" spans="1:16" x14ac:dyDescent="0.2">
      <c r="B10">
        <v>5</v>
      </c>
      <c r="C10">
        <v>949</v>
      </c>
      <c r="D10">
        <v>1226</v>
      </c>
      <c r="F10">
        <v>1018</v>
      </c>
      <c r="G10">
        <v>1325</v>
      </c>
      <c r="I10">
        <v>1126</v>
      </c>
      <c r="J10">
        <v>1420</v>
      </c>
    </row>
    <row r="11" spans="1:16" x14ac:dyDescent="0.2">
      <c r="A11" t="s">
        <v>5</v>
      </c>
      <c r="C11" s="5">
        <f>AVERAGE(C6:C10)</f>
        <v>955</v>
      </c>
      <c r="D11" s="4">
        <f>AVERAGE(D6:D10)</f>
        <v>1208</v>
      </c>
      <c r="F11" s="5">
        <f>AVERAGE(F6:F10)</f>
        <v>1046.5999999999999</v>
      </c>
      <c r="G11" s="4">
        <f>AVERAGE(G6:G10)</f>
        <v>1328.4</v>
      </c>
      <c r="I11" s="5">
        <f>AVERAGE(I6:I10)</f>
        <v>1139.2</v>
      </c>
      <c r="J11" s="4">
        <f>AVERAGE(J6:J10)</f>
        <v>1414.2</v>
      </c>
    </row>
    <row r="12" spans="1:16" x14ac:dyDescent="0.2">
      <c r="A12" s="9" t="s">
        <v>8</v>
      </c>
      <c r="B12" s="9">
        <v>1093</v>
      </c>
      <c r="E12" s="9">
        <v>1203</v>
      </c>
      <c r="H12" s="9">
        <v>1286</v>
      </c>
      <c r="I12" s="8"/>
    </row>
    <row r="14" spans="1:16" x14ac:dyDescent="0.2">
      <c r="A14" s="8"/>
      <c r="B14" s="6" t="s">
        <v>23</v>
      </c>
      <c r="C14" s="5" t="s">
        <v>24</v>
      </c>
      <c r="D14" s="4" t="s">
        <v>1</v>
      </c>
      <c r="E14" s="7">
        <v>0.8</v>
      </c>
      <c r="F14" s="5" t="s">
        <v>24</v>
      </c>
      <c r="G14" s="4" t="s">
        <v>1</v>
      </c>
      <c r="H14" s="7">
        <v>0.9</v>
      </c>
      <c r="I14" s="5" t="s">
        <v>24</v>
      </c>
      <c r="J14" s="4" t="s">
        <v>1</v>
      </c>
      <c r="M14" t="s">
        <v>26</v>
      </c>
      <c r="N14" s="12">
        <v>0.66669999999999996</v>
      </c>
      <c r="O14" s="2">
        <v>0.8</v>
      </c>
      <c r="P14" s="2">
        <v>0.9</v>
      </c>
    </row>
    <row r="15" spans="1:16" x14ac:dyDescent="0.2">
      <c r="B15">
        <v>1</v>
      </c>
      <c r="C15">
        <v>1045</v>
      </c>
      <c r="D15">
        <v>1268</v>
      </c>
      <c r="F15">
        <v>1186</v>
      </c>
      <c r="G15">
        <v>1375</v>
      </c>
      <c r="I15">
        <v>1269</v>
      </c>
      <c r="J15">
        <v>1466</v>
      </c>
      <c r="L15" t="s">
        <v>0</v>
      </c>
      <c r="M15">
        <v>923</v>
      </c>
      <c r="N15">
        <v>1067.4000000000001</v>
      </c>
      <c r="O15">
        <v>1193.5999999999999</v>
      </c>
      <c r="P15">
        <v>1291.2</v>
      </c>
    </row>
    <row r="16" spans="1:16" x14ac:dyDescent="0.2">
      <c r="B16">
        <v>2</v>
      </c>
      <c r="C16">
        <v>1056</v>
      </c>
      <c r="D16">
        <v>1266</v>
      </c>
      <c r="F16">
        <v>1205</v>
      </c>
      <c r="G16">
        <v>1389</v>
      </c>
      <c r="I16">
        <v>1294</v>
      </c>
      <c r="J16">
        <v>1479</v>
      </c>
      <c r="L16" t="s">
        <v>22</v>
      </c>
      <c r="M16">
        <v>1136.4000000000001</v>
      </c>
      <c r="N16">
        <v>1257.4000000000001</v>
      </c>
      <c r="O16">
        <v>1383.8</v>
      </c>
      <c r="P16">
        <v>1469.2</v>
      </c>
    </row>
    <row r="17" spans="1:16" x14ac:dyDescent="0.2">
      <c r="B17">
        <v>3</v>
      </c>
      <c r="C17">
        <v>1081</v>
      </c>
      <c r="D17">
        <v>1251</v>
      </c>
      <c r="F17">
        <v>1198</v>
      </c>
      <c r="G17">
        <v>1392</v>
      </c>
      <c r="I17">
        <v>1294</v>
      </c>
      <c r="J17">
        <v>1477</v>
      </c>
      <c r="L17" t="s">
        <v>8</v>
      </c>
      <c r="M17">
        <v>1030</v>
      </c>
      <c r="N17">
        <v>1173</v>
      </c>
      <c r="O17">
        <v>1294</v>
      </c>
      <c r="P17">
        <v>1387</v>
      </c>
    </row>
    <row r="18" spans="1:16" x14ac:dyDescent="0.2">
      <c r="B18">
        <v>4</v>
      </c>
      <c r="C18">
        <v>1085</v>
      </c>
      <c r="D18">
        <v>1256</v>
      </c>
      <c r="F18">
        <v>1216</v>
      </c>
      <c r="G18">
        <v>1389</v>
      </c>
      <c r="I18">
        <v>1301</v>
      </c>
      <c r="J18">
        <v>1459</v>
      </c>
    </row>
    <row r="19" spans="1:16" x14ac:dyDescent="0.2">
      <c r="B19">
        <v>5</v>
      </c>
      <c r="C19">
        <v>1070</v>
      </c>
      <c r="D19">
        <v>1246</v>
      </c>
      <c r="F19">
        <v>1163</v>
      </c>
      <c r="G19">
        <v>1374</v>
      </c>
      <c r="I19">
        <v>1298</v>
      </c>
      <c r="J19">
        <v>1465</v>
      </c>
    </row>
    <row r="20" spans="1:16" x14ac:dyDescent="0.2">
      <c r="A20" t="s">
        <v>5</v>
      </c>
      <c r="C20" s="5">
        <f>AVERAGE(C15:C19)</f>
        <v>1067.4000000000001</v>
      </c>
      <c r="D20" s="4">
        <f>AVERAGE(D15:D19)</f>
        <v>1257.4000000000001</v>
      </c>
      <c r="F20" s="5">
        <f>AVERAGE(F15:F19)</f>
        <v>1193.5999999999999</v>
      </c>
      <c r="G20" s="4">
        <f>AVERAGE(G15:G19)</f>
        <v>1383.8</v>
      </c>
      <c r="I20" s="5">
        <f>AVERAGE(I15:I19)</f>
        <v>1291.2</v>
      </c>
      <c r="J20" s="4">
        <f>AVERAGE(J15:J19)</f>
        <v>1469.2</v>
      </c>
    </row>
    <row r="21" spans="1:16" x14ac:dyDescent="0.2">
      <c r="A21" s="9" t="s">
        <v>8</v>
      </c>
      <c r="B21" s="9">
        <v>1173</v>
      </c>
      <c r="E21" s="9">
        <v>1294</v>
      </c>
      <c r="H21" s="9">
        <v>1387</v>
      </c>
    </row>
    <row r="23" spans="1:16" x14ac:dyDescent="0.2">
      <c r="A23" t="s">
        <v>20</v>
      </c>
      <c r="B23" s="6" t="s">
        <v>25</v>
      </c>
      <c r="C23" s="5" t="s">
        <v>0</v>
      </c>
      <c r="D23" s="4" t="s">
        <v>22</v>
      </c>
      <c r="E23" s="7">
        <v>0.8</v>
      </c>
      <c r="F23" s="5" t="s">
        <v>0</v>
      </c>
      <c r="G23" s="4" t="s">
        <v>22</v>
      </c>
      <c r="H23" s="7">
        <v>0.9</v>
      </c>
      <c r="I23" s="5" t="s">
        <v>0</v>
      </c>
      <c r="J23" s="4" t="s">
        <v>22</v>
      </c>
      <c r="M23" t="s">
        <v>26</v>
      </c>
      <c r="N23" s="12">
        <v>0.66669999999999996</v>
      </c>
      <c r="O23" s="2">
        <v>0.8</v>
      </c>
      <c r="P23" s="2">
        <v>0.9</v>
      </c>
    </row>
    <row r="24" spans="1:16" x14ac:dyDescent="0.2">
      <c r="B24">
        <v>1</v>
      </c>
      <c r="C24">
        <v>528</v>
      </c>
      <c r="D24">
        <v>659</v>
      </c>
      <c r="F24">
        <v>631</v>
      </c>
      <c r="G24">
        <v>771</v>
      </c>
      <c r="I24">
        <v>724</v>
      </c>
      <c r="J24">
        <v>848</v>
      </c>
      <c r="L24" t="s">
        <v>0</v>
      </c>
      <c r="M24">
        <v>396</v>
      </c>
      <c r="N24">
        <v>529.79999999999995</v>
      </c>
      <c r="O24">
        <v>637.20000000000005</v>
      </c>
      <c r="P24">
        <v>724.2</v>
      </c>
    </row>
    <row r="25" spans="1:16" x14ac:dyDescent="0.2">
      <c r="B25">
        <v>2</v>
      </c>
      <c r="C25">
        <v>528</v>
      </c>
      <c r="D25">
        <v>660</v>
      </c>
      <c r="F25">
        <v>641</v>
      </c>
      <c r="G25">
        <v>785</v>
      </c>
      <c r="I25">
        <v>718</v>
      </c>
      <c r="J25">
        <v>855</v>
      </c>
      <c r="L25" t="s">
        <v>22</v>
      </c>
      <c r="M25">
        <v>505.8</v>
      </c>
      <c r="N25">
        <v>665</v>
      </c>
      <c r="O25">
        <v>774.4</v>
      </c>
      <c r="P25">
        <v>853.2</v>
      </c>
    </row>
    <row r="26" spans="1:16" x14ac:dyDescent="0.2">
      <c r="B26">
        <v>3</v>
      </c>
      <c r="C26">
        <v>534</v>
      </c>
      <c r="D26">
        <v>685</v>
      </c>
      <c r="F26">
        <v>629</v>
      </c>
      <c r="G26">
        <v>781</v>
      </c>
      <c r="I26">
        <v>728</v>
      </c>
      <c r="J26">
        <v>848</v>
      </c>
      <c r="L26" t="s">
        <v>8</v>
      </c>
      <c r="M26">
        <v>452</v>
      </c>
      <c r="N26">
        <v>600</v>
      </c>
      <c r="O26">
        <v>709</v>
      </c>
      <c r="P26">
        <v>796</v>
      </c>
    </row>
    <row r="27" spans="1:16" x14ac:dyDescent="0.2">
      <c r="B27">
        <v>4</v>
      </c>
      <c r="C27">
        <v>530</v>
      </c>
      <c r="D27">
        <v>666</v>
      </c>
      <c r="F27">
        <v>638</v>
      </c>
      <c r="G27">
        <v>772</v>
      </c>
      <c r="I27">
        <v>725</v>
      </c>
      <c r="J27">
        <v>859</v>
      </c>
    </row>
    <row r="28" spans="1:16" x14ac:dyDescent="0.2">
      <c r="B28">
        <v>5</v>
      </c>
      <c r="C28">
        <v>529</v>
      </c>
      <c r="D28">
        <v>655</v>
      </c>
      <c r="F28">
        <v>647</v>
      </c>
      <c r="G28">
        <v>763</v>
      </c>
      <c r="I28">
        <v>726</v>
      </c>
      <c r="J28">
        <v>856</v>
      </c>
    </row>
    <row r="29" spans="1:16" x14ac:dyDescent="0.2">
      <c r="A29" t="s">
        <v>5</v>
      </c>
      <c r="C29" s="5">
        <f>AVERAGE(C24:C28)</f>
        <v>529.79999999999995</v>
      </c>
      <c r="D29" s="4">
        <f>AVERAGE(D24:D28)</f>
        <v>665</v>
      </c>
      <c r="F29" s="5">
        <f>AVERAGE(F24:F28)</f>
        <v>637.20000000000005</v>
      </c>
      <c r="G29" s="4">
        <f>AVERAGE(G24:G28)</f>
        <v>774.4</v>
      </c>
      <c r="I29" s="5">
        <f>AVERAGE(I24:I28)</f>
        <v>724.2</v>
      </c>
      <c r="J29" s="4">
        <f>AVERAGE(J24:J28)</f>
        <v>853.2</v>
      </c>
    </row>
    <row r="30" spans="1:16" x14ac:dyDescent="0.2">
      <c r="A30" s="9" t="s">
        <v>8</v>
      </c>
      <c r="B30" s="9">
        <v>600</v>
      </c>
      <c r="E30" s="9">
        <v>709</v>
      </c>
      <c r="H30" s="9">
        <v>796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P38" sqref="P38"/>
    </sheetView>
  </sheetViews>
  <sheetFormatPr baseColWidth="10" defaultRowHeight="16" x14ac:dyDescent="0.2"/>
  <cols>
    <col min="2" max="2" width="13.83203125" customWidth="1"/>
    <col min="3" max="3" width="12" customWidth="1"/>
    <col min="4" max="4" width="13.83203125" customWidth="1"/>
  </cols>
  <sheetData>
    <row r="1" spans="1:15" x14ac:dyDescent="0.2">
      <c r="A1" t="s">
        <v>29</v>
      </c>
    </row>
    <row r="6" spans="1:15" x14ac:dyDescent="0.2">
      <c r="A6" t="s">
        <v>18</v>
      </c>
      <c r="B6" s="6" t="s">
        <v>29</v>
      </c>
      <c r="C6" s="5" t="s">
        <v>0</v>
      </c>
      <c r="D6" s="4" t="s">
        <v>1</v>
      </c>
      <c r="F6" s="6" t="s">
        <v>31</v>
      </c>
      <c r="G6" s="5" t="s">
        <v>0</v>
      </c>
      <c r="H6" s="4" t="s">
        <v>1</v>
      </c>
      <c r="M6" s="5" t="s">
        <v>0</v>
      </c>
      <c r="N6" s="4" t="s">
        <v>1</v>
      </c>
      <c r="O6" s="9" t="s">
        <v>8</v>
      </c>
    </row>
    <row r="7" spans="1:15" x14ac:dyDescent="0.2">
      <c r="A7" t="s">
        <v>4</v>
      </c>
      <c r="B7" s="8">
        <v>1</v>
      </c>
      <c r="C7">
        <v>736</v>
      </c>
      <c r="D7">
        <v>887</v>
      </c>
      <c r="F7" s="8">
        <v>1</v>
      </c>
      <c r="G7" s="8">
        <v>1074</v>
      </c>
      <c r="H7" s="8">
        <v>1317</v>
      </c>
      <c r="L7" s="6" t="s">
        <v>30</v>
      </c>
      <c r="M7">
        <v>733.6</v>
      </c>
      <c r="N7">
        <v>876.6</v>
      </c>
      <c r="O7">
        <v>801</v>
      </c>
    </row>
    <row r="8" spans="1:15" x14ac:dyDescent="0.2">
      <c r="B8" s="8">
        <v>2</v>
      </c>
      <c r="C8">
        <v>735</v>
      </c>
      <c r="D8">
        <v>872</v>
      </c>
      <c r="F8" s="8">
        <v>2</v>
      </c>
      <c r="G8" s="8">
        <v>1069</v>
      </c>
      <c r="H8">
        <v>1308</v>
      </c>
      <c r="L8" s="6" t="s">
        <v>31</v>
      </c>
      <c r="M8">
        <v>1072.5999999999999</v>
      </c>
      <c r="N8">
        <v>1120.4000000000001</v>
      </c>
      <c r="O8">
        <v>1190</v>
      </c>
    </row>
    <row r="9" spans="1:15" x14ac:dyDescent="0.2">
      <c r="B9" s="8">
        <v>3</v>
      </c>
      <c r="C9">
        <v>727</v>
      </c>
      <c r="D9">
        <v>867</v>
      </c>
      <c r="F9" s="8">
        <v>3</v>
      </c>
      <c r="G9" s="8">
        <v>1074</v>
      </c>
      <c r="H9" s="8">
        <v>317</v>
      </c>
    </row>
    <row r="10" spans="1:15" x14ac:dyDescent="0.2">
      <c r="B10" s="8">
        <v>4</v>
      </c>
      <c r="C10">
        <v>731</v>
      </c>
      <c r="D10">
        <v>869</v>
      </c>
      <c r="F10" s="8">
        <v>4</v>
      </c>
      <c r="G10" s="8">
        <v>1066</v>
      </c>
      <c r="H10" s="8">
        <v>1324</v>
      </c>
    </row>
    <row r="11" spans="1:15" x14ac:dyDescent="0.2">
      <c r="B11" s="8">
        <v>5</v>
      </c>
      <c r="C11">
        <v>739</v>
      </c>
      <c r="D11">
        <v>888</v>
      </c>
      <c r="F11" s="8">
        <v>5</v>
      </c>
      <c r="G11" s="8">
        <v>1080</v>
      </c>
      <c r="H11" s="8">
        <v>1336</v>
      </c>
    </row>
    <row r="12" spans="1:15" x14ac:dyDescent="0.2">
      <c r="A12" t="s">
        <v>5</v>
      </c>
      <c r="C12" s="5">
        <f>AVERAGE(C7:C11)</f>
        <v>733.6</v>
      </c>
      <c r="D12" s="4">
        <f>AVERAGE(D7:D11)</f>
        <v>876.6</v>
      </c>
      <c r="G12" s="5">
        <f>AVERAGE(G7:G11)</f>
        <v>1072.5999999999999</v>
      </c>
      <c r="H12" s="4">
        <f>AVERAGE(H7:H11)</f>
        <v>1120.4000000000001</v>
      </c>
    </row>
    <row r="13" spans="1:15" x14ac:dyDescent="0.2">
      <c r="A13" s="9" t="s">
        <v>8</v>
      </c>
      <c r="B13" s="9">
        <v>801</v>
      </c>
      <c r="F13" s="9">
        <v>1190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12"/>
  <sheetViews>
    <sheetView tabSelected="1" topLeftCell="B1" workbookViewId="0">
      <selection activeCell="E27" sqref="E27:F36"/>
    </sheetView>
  </sheetViews>
  <sheetFormatPr baseColWidth="10" defaultRowHeight="16" x14ac:dyDescent="0.2"/>
  <cols>
    <col min="2" max="2" width="22.83203125" customWidth="1"/>
    <col min="3" max="3" width="12.33203125" customWidth="1"/>
    <col min="4" max="4" width="13.1640625" customWidth="1"/>
  </cols>
  <sheetData>
    <row r="4" spans="1:14" x14ac:dyDescent="0.2">
      <c r="L4" s="5" t="s">
        <v>0</v>
      </c>
      <c r="M4" s="4" t="s">
        <v>1</v>
      </c>
      <c r="N4" s="9" t="s">
        <v>8</v>
      </c>
    </row>
    <row r="5" spans="1:14" x14ac:dyDescent="0.2">
      <c r="A5" t="s">
        <v>18</v>
      </c>
      <c r="B5" s="6" t="s">
        <v>30</v>
      </c>
      <c r="C5" s="5" t="s">
        <v>0</v>
      </c>
      <c r="D5" s="4" t="s">
        <v>1</v>
      </c>
      <c r="F5" s="6" t="s">
        <v>31</v>
      </c>
      <c r="G5" s="5" t="s">
        <v>0</v>
      </c>
      <c r="H5" s="4" t="s">
        <v>1</v>
      </c>
      <c r="K5" s="6" t="s">
        <v>30</v>
      </c>
      <c r="L5">
        <v>243.2</v>
      </c>
      <c r="M5">
        <v>359.6</v>
      </c>
      <c r="N5">
        <v>299</v>
      </c>
    </row>
    <row r="6" spans="1:14" x14ac:dyDescent="0.2">
      <c r="A6" t="s">
        <v>4</v>
      </c>
      <c r="B6" s="8">
        <v>1</v>
      </c>
      <c r="C6">
        <v>245</v>
      </c>
      <c r="D6">
        <v>355</v>
      </c>
      <c r="F6" s="8">
        <v>1</v>
      </c>
      <c r="G6" s="8">
        <v>274</v>
      </c>
      <c r="H6" s="8">
        <v>405</v>
      </c>
      <c r="K6" s="6" t="s">
        <v>31</v>
      </c>
      <c r="L6">
        <v>261.8</v>
      </c>
      <c r="M6">
        <v>394.4</v>
      </c>
      <c r="N6">
        <v>334</v>
      </c>
    </row>
    <row r="7" spans="1:14" x14ac:dyDescent="0.2">
      <c r="B7" s="8">
        <v>2</v>
      </c>
      <c r="C7">
        <v>235</v>
      </c>
      <c r="D7">
        <v>361</v>
      </c>
      <c r="F7" s="8">
        <v>2</v>
      </c>
      <c r="G7" s="8">
        <v>282</v>
      </c>
      <c r="H7" s="8">
        <v>395</v>
      </c>
    </row>
    <row r="8" spans="1:14" x14ac:dyDescent="0.2">
      <c r="B8" s="8">
        <v>3</v>
      </c>
      <c r="C8">
        <v>249</v>
      </c>
      <c r="D8">
        <v>356</v>
      </c>
      <c r="F8" s="8">
        <v>3</v>
      </c>
      <c r="G8" s="8">
        <v>272</v>
      </c>
      <c r="H8" s="8">
        <v>385</v>
      </c>
    </row>
    <row r="9" spans="1:14" x14ac:dyDescent="0.2">
      <c r="B9" s="8">
        <v>4</v>
      </c>
      <c r="C9">
        <v>248</v>
      </c>
      <c r="D9">
        <v>366</v>
      </c>
      <c r="F9" s="8">
        <v>4</v>
      </c>
      <c r="G9" s="8">
        <v>280</v>
      </c>
      <c r="H9" s="8">
        <v>391</v>
      </c>
    </row>
    <row r="10" spans="1:14" x14ac:dyDescent="0.2">
      <c r="B10" s="8">
        <v>5</v>
      </c>
      <c r="C10">
        <v>239</v>
      </c>
      <c r="D10">
        <v>360</v>
      </c>
      <c r="F10" s="8">
        <v>5</v>
      </c>
      <c r="G10" s="8">
        <v>201</v>
      </c>
      <c r="H10" s="8">
        <v>396</v>
      </c>
    </row>
    <row r="11" spans="1:14" x14ac:dyDescent="0.2">
      <c r="A11" t="s">
        <v>5</v>
      </c>
      <c r="C11" s="5">
        <f>AVERAGE(C6:C10)</f>
        <v>243.2</v>
      </c>
      <c r="D11" s="4">
        <f>AVERAGE(D6:D10)</f>
        <v>359.6</v>
      </c>
      <c r="G11" s="5">
        <f>AVERAGE(G6:G10)</f>
        <v>261.8</v>
      </c>
      <c r="H11" s="4">
        <f>AVERAGE(H6:H10)</f>
        <v>394.4</v>
      </c>
    </row>
    <row r="12" spans="1:14" x14ac:dyDescent="0.2">
      <c r="A12" s="9" t="s">
        <v>8</v>
      </c>
      <c r="B12" s="9">
        <v>299</v>
      </c>
      <c r="F12" s="9">
        <v>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Boarding Plane</vt:lpstr>
      <vt:lpstr>People Not Following</vt:lpstr>
      <vt:lpstr>More Lugguage</vt:lpstr>
      <vt:lpstr>Flying Wing </vt:lpstr>
      <vt:lpstr>Two Passenger Two  Aisle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2022-03-11T08:47:31Z</dcterms:created>
  <dcterms:modified xsi:type="dcterms:W3CDTF">2022-03-14T05:11:59Z</dcterms:modified>
</cp:coreProperties>
</file>