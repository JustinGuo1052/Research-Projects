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 hidePivotFieldList="1"/>
  <mc:AlternateContent xmlns:mc="http://schemas.openxmlformats.org/markup-compatibility/2006">
    <mc:Choice Requires="x15">
      <x15ac:absPath xmlns:x15ac="http://schemas.microsoft.com/office/spreadsheetml/2010/11/ac" url="/Users/Anne/Desktop/"/>
    </mc:Choice>
  </mc:AlternateContent>
  <bookViews>
    <workbookView xWindow="0" yWindow="0" windowWidth="28800" windowHeight="18000" tabRatio="500" activeTab="1"/>
  </bookViews>
  <sheets>
    <sheet name="Sheet2" sheetId="2" r:id="rId1"/>
    <sheet name="Sheet1" sheetId="1" r:id="rId2"/>
  </sheets>
  <definedNames>
    <definedName name="O0">Sheet1!$A$3</definedName>
  </definedName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" i="1" l="1"/>
  <c r="B3" i="1"/>
  <c r="D3" i="1"/>
  <c r="C3" i="1"/>
  <c r="E3" i="1"/>
  <c r="F3" i="1"/>
  <c r="B4" i="1"/>
  <c r="C4" i="1"/>
  <c r="D4" i="1"/>
  <c r="E4" i="1"/>
  <c r="F4" i="1"/>
</calcChain>
</file>

<file path=xl/sharedStrings.xml><?xml version="1.0" encoding="utf-8"?>
<sst xmlns="http://schemas.openxmlformats.org/spreadsheetml/2006/main" count="25" uniqueCount="21">
  <si>
    <t>S</t>
  </si>
  <si>
    <t>E</t>
  </si>
  <si>
    <t>I</t>
  </si>
  <si>
    <t>R</t>
  </si>
  <si>
    <t>t</t>
  </si>
  <si>
    <t>N</t>
  </si>
  <si>
    <t>Varible name:</t>
  </si>
  <si>
    <t>a</t>
  </si>
  <si>
    <t>b</t>
  </si>
  <si>
    <t>c</t>
  </si>
  <si>
    <t>f</t>
  </si>
  <si>
    <t>Varible Definition</t>
  </si>
  <si>
    <t>Definition</t>
  </si>
  <si>
    <t>the number of people that are suspectble to the diease</t>
  </si>
  <si>
    <t>the number of people that are exposed to the disease</t>
  </si>
  <si>
    <t>the number of people that are infected by the diease</t>
  </si>
  <si>
    <t>the number of people which have recovered from the disease</t>
  </si>
  <si>
    <t xml:space="preserve"> Coefficient of susceptible being infected by infected people</t>
  </si>
  <si>
    <t>coefficient of exposed turned into infectious state</t>
  </si>
  <si>
    <t>death coefficient (f  is only coefficient for the infectious)</t>
  </si>
  <si>
    <t>recovery coefficient (c is only coefficient for the infectious)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</si>
</sst>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431800</xdr:colOff>
      <xdr:row>19</xdr:row>
      <xdr:rowOff>50800</xdr:rowOff>
    </xdr:from>
    <xdr:ext cx="65" cy="172227"/>
    <xdr:sp macro="" textlink="">
      <xdr:nvSpPr>
        <xdr:cNvPr id="2" name="TextBox 1"/>
        <xdr:cNvSpPr txBox="1"/>
      </xdr:nvSpPr>
      <xdr:spPr>
        <a:xfrm>
          <a:off x="8686800" y="39116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1" displayName="Table1" ref="A1:F14" totalsRowShown="0" headerRowDxfId="0">
  <autoFilter ref="A1:F14"/>
  <tableColumns count="6">
    <tableColumn id="1" name="t" dataDxfId="1"/>
    <tableColumn id="2" name="S"/>
    <tableColumn id="3" name="E"/>
    <tableColumn id="4" name="I"/>
    <tableColumn id="5" name="R"/>
    <tableColumn id="6" name="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showFormulas="1" tabSelected="1" topLeftCell="A12" workbookViewId="0">
      <selection activeCell="B27" sqref="B27"/>
    </sheetView>
  </sheetViews>
  <sheetFormatPr baseColWidth="10" defaultRowHeight="16" x14ac:dyDescent="0.2"/>
  <cols>
    <col min="2" max="2" width="36" customWidth="1"/>
  </cols>
  <sheetData>
    <row r="1" spans="1:7" x14ac:dyDescent="0.2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</row>
    <row r="2" spans="1:7" x14ac:dyDescent="0.2">
      <c r="A2" s="1">
        <v>0</v>
      </c>
      <c r="B2" s="1">
        <v>999999</v>
      </c>
      <c r="C2" s="1">
        <v>0</v>
      </c>
      <c r="D2" s="1">
        <v>1</v>
      </c>
      <c r="E2" s="1">
        <v>0</v>
      </c>
      <c r="F2" s="1">
        <f>SUM(Table1[[#This Row],[S]:[R]])</f>
        <v>1000000</v>
      </c>
      <c r="G2" s="1"/>
    </row>
    <row r="3" spans="1:7" x14ac:dyDescent="0.2">
      <c r="A3" s="1">
        <v>1</v>
      </c>
      <c r="B3" s="1">
        <f xml:space="preserve"> B2 - 2*B2*D2/F2</f>
        <v>999997.00000200002</v>
      </c>
      <c r="C3" s="1">
        <f>C2 + 2*B2*D2/F2 - 0.2*E2</f>
        <v>1.9999979999999999</v>
      </c>
      <c r="D3" s="1">
        <f>D2 + 0.15*C2 - 0.15*D2 - 0.005*D2</f>
        <v>0.84499999999999997</v>
      </c>
      <c r="E3" s="1">
        <f>E2 + 0.15 * D2</f>
        <v>0.15</v>
      </c>
      <c r="F3" s="1">
        <f>SUM(Table1[[#This Row],[S]:[R]])</f>
        <v>999999.995</v>
      </c>
    </row>
    <row r="4" spans="1:7" x14ac:dyDescent="0.2">
      <c r="A4" s="1">
        <v>2</v>
      </c>
      <c r="B4" s="1">
        <f xml:space="preserve"> B3 - 2*B3*D3/F3</f>
        <v>999995.31000706158</v>
      </c>
      <c r="C4" s="1">
        <f xml:space="preserve"> C3+2*B3*D3/F3 -0.2*C3</f>
        <v>3.2899933384533542</v>
      </c>
      <c r="D4" s="1">
        <f>D3 + 0.2*C3 - 0.15*D3-0.005*D3</f>
        <v>1.1140246</v>
      </c>
      <c r="E4" s="1">
        <f>0.15*D3</f>
        <v>0.12675</v>
      </c>
      <c r="F4" s="1">
        <f>SUM(Table1[[#This Row],[S]:[R]])</f>
        <v>999999.84077500005</v>
      </c>
    </row>
    <row r="5" spans="1:7" x14ac:dyDescent="0.2">
      <c r="A5" s="1">
        <v>3</v>
      </c>
      <c r="B5" s="1"/>
      <c r="C5" s="1"/>
      <c r="D5" s="1"/>
      <c r="E5" s="1"/>
      <c r="F5" s="1"/>
    </row>
    <row r="6" spans="1:7" x14ac:dyDescent="0.2">
      <c r="A6" s="1">
        <v>4</v>
      </c>
      <c r="B6" s="1"/>
      <c r="C6" s="1"/>
      <c r="D6" s="1"/>
      <c r="E6" s="1"/>
      <c r="F6" s="1"/>
    </row>
    <row r="7" spans="1:7" x14ac:dyDescent="0.2">
      <c r="A7" s="1">
        <v>5</v>
      </c>
      <c r="B7" s="1"/>
      <c r="C7" s="1"/>
      <c r="D7" s="1"/>
      <c r="E7" s="1"/>
      <c r="F7" s="1"/>
    </row>
    <row r="8" spans="1:7" x14ac:dyDescent="0.2">
      <c r="A8" s="1">
        <v>6</v>
      </c>
    </row>
    <row r="9" spans="1:7" x14ac:dyDescent="0.2">
      <c r="A9" s="1">
        <v>7</v>
      </c>
    </row>
    <row r="10" spans="1:7" x14ac:dyDescent="0.2">
      <c r="A10" s="1">
        <v>8</v>
      </c>
    </row>
    <row r="11" spans="1:7" x14ac:dyDescent="0.2">
      <c r="A11" s="1">
        <v>9</v>
      </c>
    </row>
    <row r="12" spans="1:7" x14ac:dyDescent="0.2">
      <c r="A12" s="1">
        <v>10</v>
      </c>
    </row>
    <row r="13" spans="1:7" x14ac:dyDescent="0.2">
      <c r="A13" s="1">
        <v>11</v>
      </c>
    </row>
    <row r="14" spans="1:7" x14ac:dyDescent="0.2">
      <c r="A14" s="1">
        <v>12</v>
      </c>
    </row>
    <row r="18" spans="1:3" x14ac:dyDescent="0.2">
      <c r="A18" t="s">
        <v>6</v>
      </c>
      <c r="B18" t="s">
        <v>12</v>
      </c>
      <c r="C18" t="s">
        <v>11</v>
      </c>
    </row>
    <row r="19" spans="1:3" x14ac:dyDescent="0.2">
      <c r="A19" t="s">
        <v>0</v>
      </c>
      <c r="B19" t="s">
        <v>13</v>
      </c>
    </row>
    <row r="20" spans="1:3" x14ac:dyDescent="0.2">
      <c r="A20" t="s">
        <v>1</v>
      </c>
      <c r="B20" t="s">
        <v>14</v>
      </c>
    </row>
    <row r="21" spans="1:3" x14ac:dyDescent="0.2">
      <c r="A21" t="s">
        <v>2</v>
      </c>
      <c r="B21" t="s">
        <v>15</v>
      </c>
    </row>
    <row r="22" spans="1:3" x14ac:dyDescent="0.2">
      <c r="A22" t="s">
        <v>3</v>
      </c>
      <c r="B22" t="s">
        <v>16</v>
      </c>
    </row>
    <row r="23" spans="1:3" x14ac:dyDescent="0.2">
      <c r="A23" t="s">
        <v>7</v>
      </c>
      <c r="B23" t="s">
        <v>17</v>
      </c>
    </row>
    <row r="24" spans="1:3" x14ac:dyDescent="0.2">
      <c r="A24" t="s">
        <v>8</v>
      </c>
      <c r="B24" t="s">
        <v>18</v>
      </c>
    </row>
    <row r="25" spans="1:3" x14ac:dyDescent="0.2">
      <c r="A25" t="s">
        <v>9</v>
      </c>
      <c r="B25" t="s">
        <v>20</v>
      </c>
    </row>
    <row r="26" spans="1:3" x14ac:dyDescent="0.2">
      <c r="A26" t="s">
        <v>10</v>
      </c>
      <c r="B26" t="s">
        <v>19</v>
      </c>
    </row>
  </sheetData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2021-12-26T10:47:09Z</dcterms:created>
  <dcterms:modified xsi:type="dcterms:W3CDTF">2021-12-26T12:13:36Z</dcterms:modified>
</cp:coreProperties>
</file>