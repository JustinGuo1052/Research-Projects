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iby/Desktop/HiMCM-Olympic/graphs of criteria/"/>
    </mc:Choice>
  </mc:AlternateContent>
  <xr:revisionPtr revIDLastSave="0" documentId="13_ncr:1_{5F12CB38-A451-9B40-87D1-BE9870C7906C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  <sheet name="Sheet2" sheetId="3" r:id="rId2"/>
    <sheet name="Sheet3" sheetId="5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5" l="1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<sst xmlns="http://schemas.openxmlformats.org/spreadsheetml/2006/main" count="545" uniqueCount="315">
  <si>
    <t>Category</t>
  </si>
  <si>
    <t>Federation</t>
  </si>
  <si>
    <t>BiggestTournament</t>
  </si>
  <si>
    <t>FollowersOnYoutube</t>
  </si>
  <si>
    <t>FollowersOnInstagram</t>
  </si>
  <si>
    <t>FollowersOnTwitter</t>
  </si>
  <si>
    <t>MemberNationNumbers</t>
  </si>
  <si>
    <t>ContinentalSpan</t>
  </si>
  <si>
    <t>VRIncorporation</t>
  </si>
  <si>
    <t>Safety</t>
  </si>
  <si>
    <t>SustainabilityFactor</t>
  </si>
  <si>
    <t>NumberOfAntiDopingSamples</t>
  </si>
  <si>
    <t>MaleFemaleRatio</t>
  </si>
  <si>
    <t>YoutubeMostViews</t>
  </si>
  <si>
    <t>PhysicalExertion</t>
  </si>
  <si>
    <t>Entertainment</t>
  </si>
  <si>
    <t>Label</t>
  </si>
  <si>
    <t>Aquatics</t>
  </si>
  <si>
    <t>consistent</t>
  </si>
  <si>
    <t>World Aquatics</t>
  </si>
  <si>
    <t>World Aquatics Swimming World Cup</t>
  </si>
  <si>
    <t>55.7:44.3</t>
  </si>
  <si>
    <t>Archery</t>
  </si>
  <si>
    <t>World Archery</t>
  </si>
  <si>
    <t>World Archery Championships</t>
  </si>
  <si>
    <t>68.7:31.3</t>
  </si>
  <si>
    <t>nan</t>
  </si>
  <si>
    <t>Athletics</t>
  </si>
  <si>
    <t>World Athletics</t>
  </si>
  <si>
    <t>World Athletics Championship</t>
  </si>
  <si>
    <t>54.0:46.0</t>
  </si>
  <si>
    <t>Basketball</t>
  </si>
  <si>
    <t>FIBA</t>
  </si>
  <si>
    <t>FIBA Basketball World Cup</t>
  </si>
  <si>
    <t>82.8:17.4</t>
  </si>
  <si>
    <t>Badminton</t>
  </si>
  <si>
    <t>BWF</t>
  </si>
  <si>
    <t>BWF World Championships</t>
  </si>
  <si>
    <t>5098:3499</t>
  </si>
  <si>
    <t>Canoeing</t>
  </si>
  <si>
    <t>ICF</t>
  </si>
  <si>
    <t>ICF Canoe Sprint World Championships</t>
  </si>
  <si>
    <t>53.0:47.0</t>
  </si>
  <si>
    <t>Cycling</t>
  </si>
  <si>
    <t>UCI</t>
  </si>
  <si>
    <t>Tour de France</t>
  </si>
  <si>
    <t>55.1:44.9</t>
  </si>
  <si>
    <t>Equestrian</t>
  </si>
  <si>
    <t>FEI</t>
  </si>
  <si>
    <t>FEI World Equestrian Games</t>
  </si>
  <si>
    <t>37.0:63.0</t>
  </si>
  <si>
    <t>Fencing</t>
  </si>
  <si>
    <t>FIE</t>
  </si>
  <si>
    <t>World Fencing Championships</t>
  </si>
  <si>
    <t>601:453</t>
  </si>
  <si>
    <t>Field hockey</t>
  </si>
  <si>
    <t>FIH</t>
  </si>
  <si>
    <t>Men's FIH Hockey World Cup</t>
  </si>
  <si>
    <t>23.0:77.0</t>
  </si>
  <si>
    <t>Football</t>
  </si>
  <si>
    <t>FIFA</t>
  </si>
  <si>
    <t>FIFA World Cup</t>
  </si>
  <si>
    <t>71.0:29.0</t>
  </si>
  <si>
    <t>Golf</t>
  </si>
  <si>
    <t>IGF</t>
  </si>
  <si>
    <t>PGA Championship</t>
  </si>
  <si>
    <t>62.0:38.0</t>
  </si>
  <si>
    <t>Gymnastics</t>
  </si>
  <si>
    <t>FIG</t>
  </si>
  <si>
    <t>Gymnastics World Championships</t>
  </si>
  <si>
    <t>3.0:2.0</t>
  </si>
  <si>
    <t>Handball</t>
  </si>
  <si>
    <t>IHF</t>
  </si>
  <si>
    <t>Partille World Cup</t>
  </si>
  <si>
    <t>3358:3273</t>
  </si>
  <si>
    <t>Judo</t>
  </si>
  <si>
    <t>IJF</t>
  </si>
  <si>
    <t>World Judo Championships</t>
  </si>
  <si>
    <t>79.0:21.0</t>
  </si>
  <si>
    <t>Lacrosse</t>
  </si>
  <si>
    <t>World Lacrosse</t>
  </si>
  <si>
    <t>World Lacrosse Championship</t>
  </si>
  <si>
    <t>82.0:18.0</t>
  </si>
  <si>
    <t>Modern Pentathlon</t>
  </si>
  <si>
    <t>UIPM</t>
  </si>
  <si>
    <t>World Modern Pentathlon Championships</t>
  </si>
  <si>
    <t>1.0:1.0</t>
  </si>
  <si>
    <t>Rowing</t>
  </si>
  <si>
    <t>World Rowing</t>
  </si>
  <si>
    <t>World Rowing Championships Regatta</t>
  </si>
  <si>
    <t>55.0:45.0</t>
  </si>
  <si>
    <t>Sailing</t>
  </si>
  <si>
    <t>World Sailing</t>
  </si>
  <si>
    <t>Sailing World Championships</t>
  </si>
  <si>
    <t>84.0:16.0</t>
  </si>
  <si>
    <t>Shooting</t>
  </si>
  <si>
    <t>ISSF</t>
  </si>
  <si>
    <t>ISSF World Shooting Championships</t>
  </si>
  <si>
    <t>68.0:32.0</t>
  </si>
  <si>
    <t>Table Tennis</t>
  </si>
  <si>
    <t>ITTF</t>
  </si>
  <si>
    <t>World Table Tennis Championships</t>
  </si>
  <si>
    <t>89.3:16.3</t>
  </si>
  <si>
    <t>Taekwondo</t>
  </si>
  <si>
    <t>WTF</t>
  </si>
  <si>
    <t>World Taekwondo Championships</t>
  </si>
  <si>
    <t>63.0:37.0</t>
  </si>
  <si>
    <t>Tennis</t>
  </si>
  <si>
    <t>ITF</t>
  </si>
  <si>
    <t>Wimbledon</t>
  </si>
  <si>
    <t>Triathlon</t>
  </si>
  <si>
    <t>ITU</t>
  </si>
  <si>
    <t>IRONMAN World Championship</t>
  </si>
  <si>
    <t>67.5:32.5</t>
  </si>
  <si>
    <t>Volleyball</t>
  </si>
  <si>
    <t>FIVB</t>
  </si>
  <si>
    <t>FIVB Volleyball World Grand Champions Cup</t>
  </si>
  <si>
    <t>21.9:78.1</t>
  </si>
  <si>
    <t>Weightlifting</t>
  </si>
  <si>
    <t>IWF</t>
  </si>
  <si>
    <t>IWF World Weightlifting Championships</t>
  </si>
  <si>
    <t>73.3:53.1</t>
  </si>
  <si>
    <t>Wrestling</t>
  </si>
  <si>
    <t>UWW</t>
  </si>
  <si>
    <t>World Wrestling Championships</t>
  </si>
  <si>
    <t>192:96</t>
  </si>
  <si>
    <t>Rugby</t>
  </si>
  <si>
    <t>Consistent</t>
  </si>
  <si>
    <t>WR</t>
  </si>
  <si>
    <t>Rugby World Cup</t>
  </si>
  <si>
    <t>6.9:2.7</t>
  </si>
  <si>
    <t>Skateboarding</t>
  </si>
  <si>
    <t>2020 join</t>
  </si>
  <si>
    <t>World Skate</t>
  </si>
  <si>
    <t>World Skateboarding Championship</t>
  </si>
  <si>
    <t>77.1:22.9</t>
  </si>
  <si>
    <t>Sport Climbing</t>
  </si>
  <si>
    <t>IFSC</t>
  </si>
  <si>
    <t>IFSC Climbing World Cup</t>
  </si>
  <si>
    <t>75.4:24.6</t>
  </si>
  <si>
    <t>Surfing</t>
  </si>
  <si>
    <t>ISA</t>
  </si>
  <si>
    <t>Rip Curl World Surf League Finals</t>
  </si>
  <si>
    <t>65.0:35.0</t>
  </si>
  <si>
    <t>Baseball and Softball</t>
  </si>
  <si>
    <t>2028 join</t>
  </si>
  <si>
    <t>WBSC</t>
  </si>
  <si>
    <t>World Baseball Classic</t>
  </si>
  <si>
    <t>98.3:1.7</t>
  </si>
  <si>
    <t>Cricket</t>
  </si>
  <si>
    <t>ICC</t>
  </si>
  <si>
    <t>CC Men's Cricket World Cup</t>
  </si>
  <si>
    <t>88.0:12.0</t>
  </si>
  <si>
    <t>Flag Football</t>
  </si>
  <si>
    <t>IFAF</t>
  </si>
  <si>
    <t>IFAF Flag Football World Championship</t>
  </si>
  <si>
    <t>75.0:25.0</t>
  </si>
  <si>
    <t>Squash</t>
  </si>
  <si>
    <t>WSF</t>
  </si>
  <si>
    <t>the PSA World Championship</t>
  </si>
  <si>
    <t>Breaking</t>
  </si>
  <si>
    <t>2028 quit</t>
  </si>
  <si>
    <t>WDSF</t>
  </si>
  <si>
    <t>World Breaking Championships</t>
  </si>
  <si>
    <t>107:87</t>
  </si>
  <si>
    <t>Boxing</t>
  </si>
  <si>
    <t>IBA</t>
  </si>
  <si>
    <t>IBA World Boxing Championships</t>
  </si>
  <si>
    <t>Karate</t>
  </si>
  <si>
    <t>2024 quit</t>
  </si>
  <si>
    <t>WKF</t>
  </si>
  <si>
    <t>World Karate Federation World Championships</t>
  </si>
  <si>
    <t>70.2:29.8</t>
  </si>
  <si>
    <t>Chess</t>
  </si>
  <si>
    <t>Highly Unviable</t>
  </si>
  <si>
    <t>FIDE</t>
  </si>
  <si>
    <t>Chess Olympiad</t>
  </si>
  <si>
    <t>170737:19749</t>
  </si>
  <si>
    <t>Sports-Car Racing</t>
  </si>
  <si>
    <t>FIA</t>
  </si>
  <si>
    <t>Formula 1</t>
  </si>
  <si>
    <t>82.4:27.6</t>
  </si>
  <si>
    <t>Motorcycling</t>
  </si>
  <si>
    <t>FIM</t>
  </si>
  <si>
    <t>MotoGP World Championships</t>
  </si>
  <si>
    <t>81.0:19.0</t>
  </si>
  <si>
    <t xml:space="preserve">E-Sports </t>
  </si>
  <si>
    <t>IESF</t>
  </si>
  <si>
    <t>World Esports Championship</t>
  </si>
  <si>
    <t>95.0:5.0</t>
  </si>
  <si>
    <t>Poker</t>
  </si>
  <si>
    <t>World Poker Federation</t>
  </si>
  <si>
    <t>IFP World Championship of Poker</t>
  </si>
  <si>
    <t>Mahjong</t>
  </si>
  <si>
    <t>World Mahjong Organization</t>
  </si>
  <si>
    <t>World Mahjong Championship</t>
  </si>
  <si>
    <t>10.0:1.0</t>
  </si>
  <si>
    <t>Kendama</t>
  </si>
  <si>
    <t>World Kendama Championships</t>
  </si>
  <si>
    <t>Rubik's Cube</t>
  </si>
  <si>
    <t>World Cube Association</t>
  </si>
  <si>
    <t>WCA World Championship</t>
  </si>
  <si>
    <t>92.0:8.0</t>
  </si>
  <si>
    <t>Skydiving</t>
  </si>
  <si>
    <t>International Skydiving Committee</t>
  </si>
  <si>
    <t>World Parachuting Championships</t>
  </si>
  <si>
    <t>Bungee Jumping</t>
  </si>
  <si>
    <t>Checkers</t>
  </si>
  <si>
    <t>World Draughts Federation</t>
  </si>
  <si>
    <t>World Draughts Championship</t>
  </si>
  <si>
    <t>46.0:27.0</t>
  </si>
  <si>
    <t>Kendo</t>
  </si>
  <si>
    <t>FIK</t>
  </si>
  <si>
    <t>World Kendo Championships</t>
  </si>
  <si>
    <t>7.0:3.0</t>
  </si>
  <si>
    <t>Bridge</t>
  </si>
  <si>
    <t>World Bridge Federation</t>
  </si>
  <si>
    <t>World Bridge Championship</t>
  </si>
  <si>
    <t>3.0:1.0</t>
  </si>
  <si>
    <t>Go</t>
  </si>
  <si>
    <t>International Go Federation</t>
  </si>
  <si>
    <t>The Ing Cup</t>
  </si>
  <si>
    <t>85.0:15.0</t>
  </si>
  <si>
    <t>cheese rolling</t>
  </si>
  <si>
    <t>Cooper's Hill Cheese-Rolling and Wake</t>
  </si>
  <si>
    <t>Wushu</t>
  </si>
  <si>
    <t>International KungFu Federation</t>
  </si>
  <si>
    <t>World Kung Fu Championship</t>
  </si>
  <si>
    <t>Croquet</t>
  </si>
  <si>
    <t>Not consistent</t>
  </si>
  <si>
    <t>WCF</t>
  </si>
  <si>
    <t>Golf Croquet World Championship</t>
  </si>
  <si>
    <t>66.0:34.0</t>
  </si>
  <si>
    <t>Jeu de Paume</t>
  </si>
  <si>
    <t>FFJP</t>
  </si>
  <si>
    <t>French Open</t>
  </si>
  <si>
    <t>Polo</t>
  </si>
  <si>
    <t>FIP</t>
  </si>
  <si>
    <t>World Polo Championships</t>
  </si>
  <si>
    <t>25.0:75.0</t>
  </si>
  <si>
    <t>Rackets</t>
  </si>
  <si>
    <t>IRF</t>
  </si>
  <si>
    <t>British Open</t>
  </si>
  <si>
    <t>Tug of War</t>
  </si>
  <si>
    <t>TWIF</t>
  </si>
  <si>
    <t>Tug of War World Championships</t>
  </si>
  <si>
    <t>Water Motorsports</t>
  </si>
  <si>
    <t>UIM</t>
  </si>
  <si>
    <t>Formula 1 Powerboat World Championship</t>
  </si>
  <si>
    <t>Bowling</t>
  </si>
  <si>
    <t>Considerations</t>
  </si>
  <si>
    <t>IBF</t>
  </si>
  <si>
    <t>WTBA World Championships</t>
  </si>
  <si>
    <t>82.1:17.9</t>
  </si>
  <si>
    <t>Billiard Sports</t>
  </si>
  <si>
    <t>WCBS</t>
  </si>
  <si>
    <t>World Pool Championships</t>
  </si>
  <si>
    <t>Muay Thai</t>
  </si>
  <si>
    <t>IFMA</t>
  </si>
  <si>
    <t>IFMA World Muaythai Championships</t>
  </si>
  <si>
    <t>1.0:1.5</t>
  </si>
  <si>
    <t>Sumo</t>
  </si>
  <si>
    <t>IFS</t>
  </si>
  <si>
    <t xml:space="preserve">Grand Sumo Tournament </t>
  </si>
  <si>
    <t>300.0:1.0</t>
  </si>
  <si>
    <t>American Football</t>
  </si>
  <si>
    <t>The Super Bowl</t>
  </si>
  <si>
    <t>97.5:2.5</t>
  </si>
  <si>
    <t>Darts</t>
  </si>
  <si>
    <t>World Darts Federation</t>
  </si>
  <si>
    <t>World Darts Championship</t>
  </si>
  <si>
    <t>397.0:5.0</t>
  </si>
  <si>
    <t>Ballet</t>
  </si>
  <si>
    <t>IFBC</t>
  </si>
  <si>
    <t>Varna International Ballet Competition</t>
  </si>
  <si>
    <t>22.0:78.0</t>
  </si>
  <si>
    <t>Frisbee</t>
  </si>
  <si>
    <t>World Flying Disc Federation</t>
  </si>
  <si>
    <t>WFDF World Ultimate Championships</t>
  </si>
  <si>
    <t>4.0:3.0</t>
  </si>
  <si>
    <t>Dodgeball</t>
  </si>
  <si>
    <t>World Dodgeball Federation</t>
  </si>
  <si>
    <t>Dodgeball World Championships</t>
  </si>
  <si>
    <t>Parkour</t>
  </si>
  <si>
    <t>International Parkour Federation</t>
  </si>
  <si>
    <t>WPC</t>
  </si>
  <si>
    <t>86.2:13.8</t>
  </si>
  <si>
    <t>Yoyo</t>
  </si>
  <si>
    <t>International Yo-Yo Federation</t>
  </si>
  <si>
    <t>World Yo-yo Contest</t>
  </si>
  <si>
    <t>Inline Skating</t>
  </si>
  <si>
    <t>Inline Speed Skating World Championships</t>
  </si>
  <si>
    <t>Cornhole/Beanbag Toss</t>
  </si>
  <si>
    <t>World Cornhole Organization</t>
  </si>
  <si>
    <t>American Cornhole League World Championships</t>
  </si>
  <si>
    <t>DanceSport</t>
  </si>
  <si>
    <t>World DanceSport Federation</t>
  </si>
  <si>
    <t>Constitution State Dancesport Championships</t>
  </si>
  <si>
    <t>56.0:41.0</t>
  </si>
  <si>
    <t>infrastructure &amp; natural sites</t>
  </si>
  <si>
    <t>Sourcing and Resource Management</t>
  </si>
  <si>
    <t>Effort on resources management</t>
  </si>
  <si>
    <t>Climate</t>
  </si>
  <si>
    <t>Effort on Climate</t>
  </si>
  <si>
    <t>Social Impact/ Promotion</t>
  </si>
  <si>
    <t>Physical Health</t>
  </si>
  <si>
    <t>Sustainability</t>
  </si>
  <si>
    <r>
      <rPr>
        <b/>
        <sz val="11"/>
        <color rgb="FF000000"/>
        <rFont val="Calibri"/>
        <family val="2"/>
      </rPr>
      <t>E-Sports</t>
    </r>
    <r>
      <rPr>
        <b/>
        <sz val="11"/>
        <color rgb="FF000000"/>
        <rFont val="Calibri"/>
        <family val="2"/>
      </rPr>
      <t xml:space="preserve"> </t>
    </r>
  </si>
  <si>
    <t>Acute Injuries (0-2)</t>
  </si>
  <si>
    <t>Head/Spinal injuries(0-3)</t>
  </si>
  <si>
    <t>Joint injuries(0-2)</t>
  </si>
  <si>
    <t>ThresholdForWatching</t>
  </si>
  <si>
    <t>HostCostBiggestTournament</t>
  </si>
  <si>
    <t>\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</si>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</sst>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_);[Red]\(\$#,##0\)"/>
    <numFmt numFmtId="169" formatCode="0_ "/>
  </numFmts>
  <fonts count="19"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0.5"/>
      <color rgb="FF24292F"/>
      <name val="宋体"/>
      <charset val="134"/>
    </font>
    <font>
      <sz val="10.5"/>
      <color rgb="FF24292F"/>
      <name val="宋体"/>
      <charset val="134"/>
    </font>
    <font>
      <b/>
      <sz val="12"/>
      <color rgb="FF000000"/>
      <name val="Calibri"/>
      <family val="2"/>
    </font>
    <font>
      <sz val="11"/>
      <color rgb="FF000000"/>
      <name val="宋体"/>
      <charset val="134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charset val="134"/>
      <scheme val="minor"/>
    </font>
    <font>
      <sz val="11"/>
      <color rgb="FF060607"/>
      <name val="Calibri"/>
      <family val="2"/>
    </font>
    <font>
      <sz val="12"/>
      <color rgb="FF000000"/>
      <name val="Calibri"/>
      <family val="2"/>
    </font>
    <font>
      <b/>
      <sz val="10.5"/>
      <color rgb="FF24292F"/>
      <name val="Calibri"/>
      <family val="2"/>
    </font>
    <font>
      <b/>
      <sz val="10"/>
      <color rgb="FF24292F"/>
      <name val="Calibri"/>
      <family val="2"/>
    </font>
    <font>
      <sz val="10.5"/>
      <color rgb="FF24292F"/>
      <name val="Calibri"/>
      <family val="2"/>
    </font>
    <font>
      <sz val="10.5"/>
      <color rgb="FF000000"/>
      <name val="Calibri"/>
      <family val="2"/>
    </font>
    <font>
      <sz val="10.5"/>
      <color rgb="FF060607"/>
      <name val="Calibri"/>
      <charset val="134"/>
      <scheme val="minor"/>
    </font>
    <font>
      <sz val="10.5"/>
      <color rgb="FF060607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4B183"/>
        <bgColor rgb="FF000000"/>
      </patternFill>
    </fill>
    <fill>
      <patternFill patternType="solid">
        <fgColor rgb="FFC5E0B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rgb="FF000000"/>
      </patternFill>
    </fill>
    <fill>
      <patternFill patternType="solid">
        <fgColor rgb="FFFBE5D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55A1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0" borderId="0" xfId="0" applyFont="1">
      <alignment vertical="center"/>
    </xf>
    <xf numFmtId="0" fontId="4" fillId="2" borderId="3" xfId="0" applyFont="1" applyFill="1" applyBorder="1" applyAlignment="1">
      <alignment horizontal="left"/>
    </xf>
    <xf numFmtId="0" fontId="6" fillId="2" borderId="0" xfId="0" applyFont="1" applyFill="1">
      <alignment vertical="center"/>
    </xf>
    <xf numFmtId="0" fontId="4" fillId="2" borderId="0" xfId="0" applyFont="1" applyFill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0" xfId="0" applyFont="1" applyFill="1" applyAlignment="1"/>
    <xf numFmtId="0" fontId="4" fillId="3" borderId="0" xfId="0" applyFont="1" applyFill="1" applyAlignment="1"/>
    <xf numFmtId="0" fontId="4" fillId="4" borderId="2" xfId="0" applyFont="1" applyFill="1" applyBorder="1" applyAlignment="1">
      <alignment horizontal="left"/>
    </xf>
    <xf numFmtId="0" fontId="1" fillId="5" borderId="0" xfId="0" applyFont="1" applyFill="1">
      <alignment vertical="center"/>
    </xf>
    <xf numFmtId="0" fontId="7" fillId="0" borderId="0" xfId="0" applyFont="1">
      <alignment vertical="center"/>
    </xf>
    <xf numFmtId="0" fontId="8" fillId="5" borderId="0" xfId="0" applyFont="1" applyFill="1" applyAlignment="1"/>
    <xf numFmtId="164" fontId="1" fillId="0" borderId="0" xfId="0" applyNumberFormat="1" applyFont="1">
      <alignment vertical="center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6" fillId="9" borderId="0" xfId="0" applyFont="1" applyFill="1">
      <alignment vertical="center"/>
    </xf>
    <xf numFmtId="0" fontId="4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3" borderId="0" xfId="0" applyFont="1" applyFill="1">
      <alignment vertical="center"/>
    </xf>
    <xf numFmtId="164" fontId="1" fillId="10" borderId="0" xfId="0" applyNumberFormat="1" applyFont="1" applyFill="1">
      <alignment vertical="center"/>
    </xf>
    <xf numFmtId="0" fontId="1" fillId="10" borderId="0" xfId="0" applyFont="1" applyFill="1">
      <alignment vertical="center"/>
    </xf>
    <xf numFmtId="0" fontId="9" fillId="11" borderId="0" xfId="0" applyFont="1" applyFill="1">
      <alignment vertical="center"/>
    </xf>
    <xf numFmtId="0" fontId="10" fillId="0" borderId="0" xfId="0" applyFont="1">
      <alignment vertical="center"/>
    </xf>
    <xf numFmtId="0" fontId="4" fillId="11" borderId="4" xfId="0" applyFont="1" applyFill="1" applyBorder="1" applyAlignment="1">
      <alignment horizontal="left"/>
    </xf>
    <xf numFmtId="0" fontId="4" fillId="11" borderId="2" xfId="0" applyFont="1" applyFill="1" applyBorder="1" applyAlignment="1">
      <alignment horizontal="left"/>
    </xf>
    <xf numFmtId="0" fontId="4" fillId="11" borderId="0" xfId="0" applyFont="1" applyFill="1" applyAlignment="1"/>
    <xf numFmtId="0" fontId="4" fillId="0" borderId="0" xfId="0" applyFont="1" applyAlignment="1"/>
    <xf numFmtId="0" fontId="4" fillId="1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12" borderId="0" xfId="0" applyFont="1" applyFill="1">
      <alignment vertical="center"/>
    </xf>
    <xf numFmtId="0" fontId="4" fillId="12" borderId="0" xfId="0" applyFont="1" applyFill="1" applyAlignment="1"/>
    <xf numFmtId="0" fontId="11" fillId="0" borderId="0" xfId="0" applyFont="1">
      <alignment vertical="center"/>
    </xf>
    <xf numFmtId="0" fontId="4" fillId="13" borderId="0" xfId="0" applyFont="1" applyFill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/>
    <xf numFmtId="169" fontId="8" fillId="0" borderId="0" xfId="0" applyNumberFormat="1" applyFont="1" applyAlignment="1"/>
    <xf numFmtId="46" fontId="8" fillId="0" borderId="0" xfId="0" applyNumberFormat="1" applyFont="1" applyAlignment="1"/>
    <xf numFmtId="46" fontId="1" fillId="0" borderId="0" xfId="0" applyNumberFormat="1" applyFont="1">
      <alignment vertical="center"/>
    </xf>
    <xf numFmtId="20" fontId="8" fillId="0" borderId="0" xfId="0" applyNumberFormat="1" applyFont="1" applyAlignment="1"/>
    <xf numFmtId="0" fontId="4" fillId="14" borderId="0" xfId="0" applyFont="1" applyFill="1" applyAlignment="1"/>
    <xf numFmtId="0" fontId="12" fillId="0" borderId="0" xfId="0" applyFont="1">
      <alignment vertical="center"/>
    </xf>
    <xf numFmtId="0" fontId="4" fillId="15" borderId="0" xfId="0" applyFont="1" applyFill="1" applyAlignment="1"/>
    <xf numFmtId="0" fontId="4" fillId="16" borderId="0" xfId="0" applyFont="1" applyFill="1" applyAlignment="1"/>
    <xf numFmtId="0" fontId="8" fillId="10" borderId="0" xfId="0" applyFont="1" applyFill="1" applyAlignment="1"/>
    <xf numFmtId="0" fontId="12" fillId="10" borderId="0" xfId="0" applyFont="1" applyFill="1">
      <alignment vertical="center"/>
    </xf>
    <xf numFmtId="0" fontId="9" fillId="17" borderId="0" xfId="0" applyFont="1" applyFill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4" fillId="18" borderId="0" xfId="0" applyFont="1" applyFill="1" applyAlignment="1">
      <alignment horizontal="left"/>
    </xf>
    <xf numFmtId="0" fontId="9" fillId="18" borderId="0" xfId="0" applyFont="1" applyFill="1">
      <alignment vertical="center"/>
    </xf>
    <xf numFmtId="169" fontId="8" fillId="10" borderId="0" xfId="0" applyNumberFormat="1" applyFont="1" applyFill="1" applyAlignment="1"/>
    <xf numFmtId="3" fontId="16" fillId="0" borderId="0" xfId="0" applyNumberFormat="1" applyFont="1">
      <alignment vertical="center"/>
    </xf>
    <xf numFmtId="0" fontId="7" fillId="10" borderId="0" xfId="0" applyFont="1" applyFill="1">
      <alignment vertical="center"/>
    </xf>
    <xf numFmtId="20" fontId="1" fillId="0" borderId="0" xfId="0" applyNumberFormat="1" applyFont="1">
      <alignment vertical="center"/>
    </xf>
    <xf numFmtId="47" fontId="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26">
    <open main="52" threadCnt="1"/>
    <sheetInfos>
      <sheetInfo cellCmpFml="0" sheetStid="1">
        <open main="2" threadCnt="1"/>
      </sheetInfo>
      <sheetInfo cellCmpFml="14" sheetStid="3">
        <open main="2" threadCnt="1"/>
      </sheetInfo>
      <sheetInfo cellCmpFml="12" sheetStid="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www.wps.cn/officeDocument/2023/relationships/woinfos" Target="woinfos.xml"/><Relationship Id="rId5" Type="http://schemas.openxmlformats.org/officeDocument/2006/relationships/styles" Target="styles.xml"/><Relationship Id="rId10" Type="http://www.wps.cn/officeDocument/2023/relationships/customStorage" Target="customStorage/customStorage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89"/>
  <sheetViews>
    <sheetView tabSelected="1" workbookViewId="0">
      <pane xSplit="4" ySplit="1" topLeftCell="F2" activePane="bottomRight" state="frozen"/>
      <selection pane="topRight"/>
      <selection pane="bottomLeft"/>
      <selection pane="bottomRight" activeCell="F41" sqref="F41"/>
    </sheetView>
  </sheetViews>
  <sheetFormatPr baseColWidth="10" defaultColWidth="8.83203125" defaultRowHeight="15"/>
  <cols>
    <col min="1" max="1" width="18.6640625" style="15" customWidth="1"/>
    <col min="2" max="2" width="17.1640625" style="15" customWidth="1"/>
    <col min="3" max="3" width="28.1640625" style="15" customWidth="1"/>
    <col min="4" max="4" width="40.6640625" style="15" customWidth="1"/>
    <col min="5" max="5" width="17.83203125" style="15" customWidth="1"/>
    <col min="6" max="6" width="27" style="15" customWidth="1"/>
    <col min="7" max="7" width="19.1640625" style="15" customWidth="1"/>
    <col min="8" max="8" width="22.5" style="15" customWidth="1"/>
    <col min="9" max="9" width="14.5" style="15" customWidth="1"/>
    <col min="10" max="10" width="15.1640625" style="15" customWidth="1"/>
    <col min="11" max="11" width="13.33203125" style="15" customWidth="1"/>
    <col min="12" max="12" width="20.83203125" style="15" customWidth="1"/>
    <col min="13" max="13" width="27" style="15" customWidth="1"/>
    <col min="14" max="15" width="17.5" style="15" customWidth="1"/>
    <col min="16" max="16" width="14.5" style="15" customWidth="1"/>
    <col min="17" max="17" width="14.6640625" style="15" customWidth="1"/>
    <col min="18" max="19" width="25.6640625" style="15" customWidth="1"/>
    <col min="20" max="20" width="23" style="15" customWidth="1"/>
    <col min="21" max="21" width="34.6640625" style="15" customWidth="1"/>
    <col min="22" max="22" width="28.1640625" style="15" customWidth="1"/>
    <col min="23" max="16384" width="8.83203125" style="15"/>
  </cols>
  <sheetData>
    <row r="1" spans="1:89" ht="16">
      <c r="A1" s="32" t="s">
        <v>314</v>
      </c>
      <c r="B1" s="16" t="s">
        <v>0</v>
      </c>
      <c r="C1" s="16" t="s">
        <v>1</v>
      </c>
      <c r="D1" s="14" t="s">
        <v>2</v>
      </c>
      <c r="E1" s="16" t="s">
        <v>3</v>
      </c>
      <c r="F1" s="16" t="s">
        <v>4</v>
      </c>
      <c r="G1" s="14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4" t="s">
        <v>11</v>
      </c>
      <c r="N1" s="16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/>
      <c r="T1" s="14"/>
      <c r="U1" s="16"/>
      <c r="V1" s="1"/>
      <c r="X1" s="1"/>
    </row>
    <row r="2" spans="1:89" ht="16">
      <c r="A2" s="33" t="s">
        <v>17</v>
      </c>
      <c r="B2" s="34" t="s">
        <v>18</v>
      </c>
      <c r="C2" s="34" t="s">
        <v>19</v>
      </c>
      <c r="D2" s="1" t="s">
        <v>20</v>
      </c>
      <c r="E2" s="40">
        <v>376000</v>
      </c>
      <c r="F2" s="41">
        <v>1400000</v>
      </c>
      <c r="G2" s="1">
        <v>138800</v>
      </c>
      <c r="H2" s="40">
        <v>208</v>
      </c>
      <c r="I2" s="1">
        <v>6</v>
      </c>
      <c r="J2" s="1">
        <v>0</v>
      </c>
      <c r="K2" s="1">
        <v>0.57142857142857095</v>
      </c>
      <c r="L2" s="1">
        <v>0.8</v>
      </c>
      <c r="M2" s="1">
        <v>15943</v>
      </c>
      <c r="N2" s="40" t="s">
        <v>21</v>
      </c>
      <c r="O2" s="15">
        <v>34056824</v>
      </c>
      <c r="P2" s="15">
        <v>1</v>
      </c>
      <c r="Q2" s="15">
        <v>2</v>
      </c>
      <c r="R2" s="15">
        <v>1</v>
      </c>
      <c r="T2" s="17"/>
      <c r="U2" s="1"/>
    </row>
    <row r="3" spans="1:89" ht="16">
      <c r="A3" s="33" t="s">
        <v>22</v>
      </c>
      <c r="B3" s="34" t="s">
        <v>18</v>
      </c>
      <c r="C3" s="34" t="s">
        <v>23</v>
      </c>
      <c r="D3" s="1" t="s">
        <v>24</v>
      </c>
      <c r="E3" s="40">
        <v>618000</v>
      </c>
      <c r="F3" s="41">
        <v>339000</v>
      </c>
      <c r="G3" s="1">
        <v>81200</v>
      </c>
      <c r="H3" s="40">
        <v>160</v>
      </c>
      <c r="I3" s="1">
        <v>6</v>
      </c>
      <c r="J3" s="1">
        <v>1</v>
      </c>
      <c r="K3" s="1">
        <v>0.85714285714285698</v>
      </c>
      <c r="L3" s="1">
        <v>0.6</v>
      </c>
      <c r="M3" s="1">
        <v>939</v>
      </c>
      <c r="N3" s="40" t="s">
        <v>25</v>
      </c>
      <c r="O3" s="15">
        <v>61836111</v>
      </c>
      <c r="P3" s="15">
        <v>1</v>
      </c>
      <c r="Q3" s="15">
        <v>2</v>
      </c>
      <c r="R3" s="1">
        <v>1</v>
      </c>
      <c r="T3" s="17"/>
      <c r="U3" s="1"/>
    </row>
    <row r="4" spans="1:89" ht="16">
      <c r="A4" s="33" t="s">
        <v>27</v>
      </c>
      <c r="B4" s="34" t="s">
        <v>18</v>
      </c>
      <c r="C4" s="34" t="s">
        <v>28</v>
      </c>
      <c r="D4" s="1" t="s">
        <v>29</v>
      </c>
      <c r="E4" s="40">
        <v>2130000</v>
      </c>
      <c r="F4" s="41">
        <v>2900000</v>
      </c>
      <c r="G4" s="1">
        <v>515300</v>
      </c>
      <c r="H4" s="40">
        <v>214</v>
      </c>
      <c r="I4" s="1">
        <v>6</v>
      </c>
      <c r="J4" s="1">
        <v>0</v>
      </c>
      <c r="K4" s="1">
        <v>0.57142857142857095</v>
      </c>
      <c r="L4" s="1">
        <v>0.8</v>
      </c>
      <c r="M4" s="1">
        <v>33960</v>
      </c>
      <c r="N4" s="42" t="s">
        <v>30</v>
      </c>
      <c r="O4" s="15">
        <v>46652778</v>
      </c>
      <c r="P4" s="15">
        <v>1</v>
      </c>
      <c r="Q4" s="15">
        <v>2</v>
      </c>
      <c r="R4" s="15">
        <v>1</v>
      </c>
      <c r="T4" s="17"/>
      <c r="U4" s="1"/>
      <c r="CK4" s="1"/>
    </row>
    <row r="5" spans="1:89" ht="16">
      <c r="A5" s="33" t="s">
        <v>31</v>
      </c>
      <c r="B5" s="34" t="s">
        <v>18</v>
      </c>
      <c r="C5" s="34" t="s">
        <v>32</v>
      </c>
      <c r="D5" s="1" t="s">
        <v>33</v>
      </c>
      <c r="E5" s="40">
        <v>2860000</v>
      </c>
      <c r="F5" s="41">
        <v>3000000</v>
      </c>
      <c r="G5" s="1">
        <v>584000</v>
      </c>
      <c r="H5" s="40">
        <v>213</v>
      </c>
      <c r="I5" s="1">
        <v>6</v>
      </c>
      <c r="J5" s="1">
        <v>0</v>
      </c>
      <c r="K5" s="1">
        <v>0.42857142857142899</v>
      </c>
      <c r="L5" s="1">
        <v>0.8</v>
      </c>
      <c r="M5" s="1">
        <v>5787</v>
      </c>
      <c r="N5" s="40" t="s">
        <v>34</v>
      </c>
      <c r="O5" s="15">
        <v>13584428</v>
      </c>
      <c r="P5" s="15">
        <v>1</v>
      </c>
      <c r="Q5" s="15">
        <v>2</v>
      </c>
      <c r="R5" s="1">
        <v>1</v>
      </c>
      <c r="T5" s="17"/>
      <c r="U5" s="1"/>
    </row>
    <row r="6" spans="1:89" ht="16">
      <c r="A6" s="35" t="s">
        <v>35</v>
      </c>
      <c r="B6" s="34" t="s">
        <v>18</v>
      </c>
      <c r="C6" s="1" t="s">
        <v>36</v>
      </c>
      <c r="D6" s="1" t="s">
        <v>37</v>
      </c>
      <c r="E6" s="15">
        <v>3230000</v>
      </c>
      <c r="F6" s="15">
        <v>2000000</v>
      </c>
      <c r="G6" s="15">
        <v>451500</v>
      </c>
      <c r="H6" s="15">
        <v>201</v>
      </c>
      <c r="I6" s="15">
        <v>6</v>
      </c>
      <c r="J6" s="15">
        <v>1</v>
      </c>
      <c r="K6" s="15">
        <v>0.85714285714285698</v>
      </c>
      <c r="L6" s="15">
        <v>0.7</v>
      </c>
      <c r="M6" s="15">
        <v>1763</v>
      </c>
      <c r="N6" s="1" t="s">
        <v>38</v>
      </c>
      <c r="O6" s="15">
        <v>8347468</v>
      </c>
      <c r="P6" s="15">
        <v>1</v>
      </c>
      <c r="Q6" s="15">
        <v>2</v>
      </c>
      <c r="R6" s="15">
        <v>1</v>
      </c>
    </row>
    <row r="7" spans="1:89" ht="16">
      <c r="A7" s="33" t="s">
        <v>39</v>
      </c>
      <c r="B7" s="34" t="s">
        <v>18</v>
      </c>
      <c r="C7" s="34" t="s">
        <v>40</v>
      </c>
      <c r="D7" s="1" t="s">
        <v>41</v>
      </c>
      <c r="E7" s="40">
        <v>328000</v>
      </c>
      <c r="F7" s="41">
        <v>90400</v>
      </c>
      <c r="G7" s="1">
        <v>28300</v>
      </c>
      <c r="H7" s="40">
        <v>150</v>
      </c>
      <c r="I7" s="1">
        <v>6</v>
      </c>
      <c r="J7" s="1">
        <v>1</v>
      </c>
      <c r="K7" s="1">
        <v>0.85714285714285698</v>
      </c>
      <c r="L7" s="1">
        <v>0.6</v>
      </c>
      <c r="M7" s="1">
        <v>4707</v>
      </c>
      <c r="N7" s="40" t="s">
        <v>42</v>
      </c>
      <c r="O7" s="15">
        <v>10590713</v>
      </c>
      <c r="P7" s="15">
        <v>1</v>
      </c>
      <c r="Q7" s="15">
        <v>2</v>
      </c>
      <c r="R7" s="15">
        <v>1</v>
      </c>
      <c r="T7" s="17"/>
      <c r="U7" s="1"/>
    </row>
    <row r="8" spans="1:89" ht="16">
      <c r="A8" s="33" t="s">
        <v>43</v>
      </c>
      <c r="B8" s="34" t="s">
        <v>18</v>
      </c>
      <c r="C8" s="34" t="s">
        <v>44</v>
      </c>
      <c r="D8" s="1" t="s">
        <v>45</v>
      </c>
      <c r="E8" s="40">
        <v>599000</v>
      </c>
      <c r="F8" s="41">
        <v>1100000</v>
      </c>
      <c r="G8" s="1">
        <v>362400</v>
      </c>
      <c r="H8" s="40">
        <v>190</v>
      </c>
      <c r="I8" s="1">
        <v>6</v>
      </c>
      <c r="J8" s="1">
        <v>1</v>
      </c>
      <c r="K8" s="1">
        <v>0.42857142857142899</v>
      </c>
      <c r="L8" s="1">
        <v>0.7</v>
      </c>
      <c r="M8" s="1">
        <v>22551</v>
      </c>
      <c r="N8" s="40" t="s">
        <v>46</v>
      </c>
      <c r="O8" s="15">
        <v>264756135</v>
      </c>
      <c r="P8" s="15">
        <v>1</v>
      </c>
      <c r="Q8" s="15">
        <v>2</v>
      </c>
      <c r="R8" s="15">
        <v>1</v>
      </c>
      <c r="T8" s="17"/>
      <c r="U8" s="1"/>
    </row>
    <row r="9" spans="1:89" ht="16">
      <c r="A9" s="33" t="s">
        <v>47</v>
      </c>
      <c r="B9" s="34" t="s">
        <v>18</v>
      </c>
      <c r="C9" s="34" t="s">
        <v>48</v>
      </c>
      <c r="D9" s="1" t="s">
        <v>49</v>
      </c>
      <c r="E9" s="40">
        <v>327000</v>
      </c>
      <c r="F9" s="41">
        <v>561000</v>
      </c>
      <c r="G9" s="1">
        <v>105400</v>
      </c>
      <c r="H9" s="40">
        <v>130</v>
      </c>
      <c r="I9" s="1">
        <v>6</v>
      </c>
      <c r="J9" s="1">
        <v>0</v>
      </c>
      <c r="K9" s="1">
        <v>0.28571428571428598</v>
      </c>
      <c r="L9" s="1">
        <v>0.4</v>
      </c>
      <c r="M9" s="1">
        <v>953</v>
      </c>
      <c r="N9" s="40" t="s">
        <v>50</v>
      </c>
      <c r="O9" s="15">
        <v>21929971</v>
      </c>
      <c r="P9" s="15">
        <v>1</v>
      </c>
      <c r="Q9" s="15">
        <v>1</v>
      </c>
      <c r="R9" s="15">
        <v>1</v>
      </c>
      <c r="T9" s="17"/>
      <c r="U9" s="1"/>
    </row>
    <row r="10" spans="1:89" ht="16">
      <c r="A10" s="33" t="s">
        <v>51</v>
      </c>
      <c r="B10" s="34" t="s">
        <v>18</v>
      </c>
      <c r="C10" s="34" t="s">
        <v>52</v>
      </c>
      <c r="D10" s="1" t="s">
        <v>53</v>
      </c>
      <c r="E10" s="40">
        <v>100000</v>
      </c>
      <c r="F10" s="41">
        <v>131000</v>
      </c>
      <c r="G10" s="1">
        <v>25500</v>
      </c>
      <c r="H10" s="40">
        <v>150</v>
      </c>
      <c r="I10" s="1">
        <v>6</v>
      </c>
      <c r="J10" s="1">
        <v>0</v>
      </c>
      <c r="K10" s="1">
        <v>0.57142857142857095</v>
      </c>
      <c r="L10" s="1">
        <v>0.8</v>
      </c>
      <c r="M10" s="1">
        <v>1813</v>
      </c>
      <c r="N10" s="40" t="s">
        <v>54</v>
      </c>
      <c r="O10" s="15">
        <v>26401997</v>
      </c>
      <c r="P10" s="15">
        <v>1</v>
      </c>
      <c r="Q10" s="15">
        <v>2</v>
      </c>
      <c r="R10" s="15">
        <v>1</v>
      </c>
      <c r="T10" s="17"/>
      <c r="U10" s="1"/>
    </row>
    <row r="11" spans="1:89" ht="16">
      <c r="A11" s="33" t="s">
        <v>55</v>
      </c>
      <c r="B11" s="34" t="s">
        <v>18</v>
      </c>
      <c r="C11" s="34" t="s">
        <v>56</v>
      </c>
      <c r="D11" s="1" t="s">
        <v>57</v>
      </c>
      <c r="E11" s="40">
        <v>338000</v>
      </c>
      <c r="F11" s="41">
        <v>357000</v>
      </c>
      <c r="G11" s="1">
        <v>126900</v>
      </c>
      <c r="H11" s="40">
        <v>130</v>
      </c>
      <c r="I11" s="1">
        <v>6</v>
      </c>
      <c r="J11" s="1">
        <v>0</v>
      </c>
      <c r="K11" s="1">
        <v>0.42857142857142899</v>
      </c>
      <c r="L11" s="1">
        <v>0.5</v>
      </c>
      <c r="M11" s="1">
        <v>1544</v>
      </c>
      <c r="N11" s="42" t="s">
        <v>58</v>
      </c>
      <c r="O11" s="15">
        <v>1396866</v>
      </c>
      <c r="P11" s="15">
        <v>1</v>
      </c>
      <c r="Q11" s="15">
        <v>2</v>
      </c>
      <c r="R11" s="15">
        <v>1</v>
      </c>
      <c r="T11" s="17"/>
      <c r="U11" s="1"/>
    </row>
    <row r="12" spans="1:89" ht="16">
      <c r="A12" s="33" t="s">
        <v>59</v>
      </c>
      <c r="B12" s="34" t="s">
        <v>18</v>
      </c>
      <c r="C12" s="34" t="s">
        <v>60</v>
      </c>
      <c r="D12" s="1" t="s">
        <v>61</v>
      </c>
      <c r="E12" s="40">
        <v>22000000</v>
      </c>
      <c r="F12" s="41">
        <v>4200000</v>
      </c>
      <c r="G12" s="1">
        <v>16400000</v>
      </c>
      <c r="H12" s="40">
        <v>211</v>
      </c>
      <c r="I12" s="1">
        <v>6</v>
      </c>
      <c r="J12" s="1">
        <v>0</v>
      </c>
      <c r="K12" s="1">
        <v>0.42857142857142899</v>
      </c>
      <c r="L12" s="1">
        <v>0.7</v>
      </c>
      <c r="M12" s="1">
        <v>33601</v>
      </c>
      <c r="N12" s="40" t="s">
        <v>62</v>
      </c>
      <c r="O12" s="15">
        <v>67467002</v>
      </c>
      <c r="P12" s="15">
        <v>1</v>
      </c>
      <c r="Q12" s="15">
        <v>2</v>
      </c>
      <c r="R12" s="15">
        <v>1</v>
      </c>
      <c r="T12" s="17"/>
      <c r="U12" s="1"/>
    </row>
    <row r="13" spans="1:89" ht="16">
      <c r="A13" s="35" t="s">
        <v>63</v>
      </c>
      <c r="B13" s="34" t="s">
        <v>18</v>
      </c>
      <c r="C13" s="1" t="s">
        <v>64</v>
      </c>
      <c r="D13" s="1" t="s">
        <v>65</v>
      </c>
      <c r="E13" s="1">
        <v>0</v>
      </c>
      <c r="F13" s="15">
        <v>57000</v>
      </c>
      <c r="G13" s="15">
        <v>32600</v>
      </c>
      <c r="H13" s="15">
        <v>132</v>
      </c>
      <c r="I13" s="15">
        <v>6</v>
      </c>
      <c r="J13" s="15">
        <v>1</v>
      </c>
      <c r="K13" s="15">
        <v>0.85714285714285698</v>
      </c>
      <c r="L13" s="15">
        <v>0.5</v>
      </c>
      <c r="M13" s="15">
        <v>372</v>
      </c>
      <c r="N13" s="43" t="s">
        <v>66</v>
      </c>
      <c r="O13" s="15">
        <v>7668302</v>
      </c>
      <c r="P13" s="15">
        <v>1</v>
      </c>
      <c r="Q13" s="15">
        <v>2</v>
      </c>
      <c r="R13" s="15">
        <v>1</v>
      </c>
    </row>
    <row r="14" spans="1:89" ht="16">
      <c r="A14" s="36" t="s">
        <v>67</v>
      </c>
      <c r="B14" s="34" t="s">
        <v>18</v>
      </c>
      <c r="C14" s="34" t="s">
        <v>68</v>
      </c>
      <c r="D14" s="1" t="s">
        <v>69</v>
      </c>
      <c r="E14" s="40">
        <v>910000</v>
      </c>
      <c r="F14" s="41">
        <v>464000</v>
      </c>
      <c r="G14" s="1">
        <v>92100</v>
      </c>
      <c r="H14" s="40">
        <v>161</v>
      </c>
      <c r="I14" s="1">
        <v>6</v>
      </c>
      <c r="J14" s="1">
        <v>0</v>
      </c>
      <c r="K14" s="1">
        <v>0.42857142857142899</v>
      </c>
      <c r="L14" s="1">
        <v>1</v>
      </c>
      <c r="M14" s="1">
        <v>3595</v>
      </c>
      <c r="N14" s="40" t="s">
        <v>70</v>
      </c>
      <c r="O14" s="15">
        <v>247771655</v>
      </c>
      <c r="P14" s="15">
        <v>1</v>
      </c>
      <c r="Q14" s="15">
        <v>1</v>
      </c>
      <c r="R14" s="15">
        <v>1</v>
      </c>
      <c r="T14" s="17"/>
      <c r="U14" s="1"/>
    </row>
    <row r="15" spans="1:89" ht="16">
      <c r="A15" s="36" t="s">
        <v>71</v>
      </c>
      <c r="B15" s="34" t="s">
        <v>18</v>
      </c>
      <c r="C15" s="34" t="s">
        <v>72</v>
      </c>
      <c r="D15" s="1" t="s">
        <v>73</v>
      </c>
      <c r="E15" s="40">
        <v>160000</v>
      </c>
      <c r="F15" s="41">
        <v>251000</v>
      </c>
      <c r="G15" s="1">
        <v>68400</v>
      </c>
      <c r="H15" s="40">
        <v>209</v>
      </c>
      <c r="I15" s="1">
        <v>6</v>
      </c>
      <c r="J15" s="1">
        <v>0</v>
      </c>
      <c r="K15" s="1">
        <v>0.42857142857142899</v>
      </c>
      <c r="L15" s="1">
        <v>0.6</v>
      </c>
      <c r="M15" s="1">
        <v>4603</v>
      </c>
      <c r="N15" s="40" t="s">
        <v>74</v>
      </c>
      <c r="O15" s="15">
        <v>3350604</v>
      </c>
      <c r="P15" s="15">
        <v>1</v>
      </c>
      <c r="Q15" s="15">
        <v>2</v>
      </c>
      <c r="R15" s="15">
        <v>1</v>
      </c>
      <c r="T15" s="17"/>
      <c r="U15" s="1"/>
    </row>
    <row r="16" spans="1:89" ht="16">
      <c r="A16" s="33" t="s">
        <v>75</v>
      </c>
      <c r="B16" s="34" t="s">
        <v>18</v>
      </c>
      <c r="C16" s="34" t="s">
        <v>76</v>
      </c>
      <c r="D16" s="1" t="s">
        <v>77</v>
      </c>
      <c r="E16" s="40">
        <v>516000</v>
      </c>
      <c r="F16" s="41">
        <v>1300000</v>
      </c>
      <c r="G16" s="1">
        <v>99700</v>
      </c>
      <c r="H16" s="40">
        <v>208</v>
      </c>
      <c r="I16" s="1">
        <v>6</v>
      </c>
      <c r="J16" s="1">
        <v>0</v>
      </c>
      <c r="K16" s="1">
        <v>0.42857142857142899</v>
      </c>
      <c r="L16" s="1">
        <v>0.8</v>
      </c>
      <c r="M16" s="1">
        <v>4244</v>
      </c>
      <c r="N16" s="40" t="s">
        <v>78</v>
      </c>
      <c r="O16" s="15">
        <v>9841416</v>
      </c>
      <c r="P16" s="15">
        <v>1</v>
      </c>
      <c r="Q16" s="15">
        <v>2</v>
      </c>
      <c r="R16" s="15">
        <v>1</v>
      </c>
      <c r="T16" s="17"/>
      <c r="U16" s="1"/>
    </row>
    <row r="17" spans="1:21" ht="16">
      <c r="A17" s="35" t="s">
        <v>79</v>
      </c>
      <c r="B17" s="34" t="s">
        <v>18</v>
      </c>
      <c r="C17" s="1" t="s">
        <v>80</v>
      </c>
      <c r="D17" s="1" t="s">
        <v>81</v>
      </c>
      <c r="E17" s="15">
        <v>3520</v>
      </c>
      <c r="F17" s="15">
        <v>68747</v>
      </c>
      <c r="G17" s="15">
        <v>21800</v>
      </c>
      <c r="H17" s="15">
        <v>92</v>
      </c>
      <c r="I17" s="15">
        <v>6</v>
      </c>
      <c r="J17" s="15">
        <v>0</v>
      </c>
      <c r="K17" s="15">
        <v>0.42857142857142899</v>
      </c>
      <c r="L17" s="15">
        <v>0.6</v>
      </c>
      <c r="M17" s="15">
        <v>148</v>
      </c>
      <c r="N17" s="1" t="s">
        <v>82</v>
      </c>
      <c r="O17" s="15">
        <v>1288887</v>
      </c>
      <c r="P17" s="15">
        <v>1</v>
      </c>
      <c r="Q17" s="15">
        <v>2</v>
      </c>
      <c r="R17" s="15">
        <v>1</v>
      </c>
    </row>
    <row r="18" spans="1:21" ht="16">
      <c r="A18" s="33" t="s">
        <v>83</v>
      </c>
      <c r="B18" s="34" t="s">
        <v>18</v>
      </c>
      <c r="C18" s="34" t="s">
        <v>84</v>
      </c>
      <c r="D18" s="1" t="s">
        <v>85</v>
      </c>
      <c r="E18" s="40">
        <v>7270</v>
      </c>
      <c r="F18" s="41">
        <v>20300</v>
      </c>
      <c r="G18" s="1">
        <v>6171</v>
      </c>
      <c r="H18" s="40">
        <v>133</v>
      </c>
      <c r="I18" s="1">
        <v>6</v>
      </c>
      <c r="J18" s="1">
        <v>0</v>
      </c>
      <c r="K18" s="1">
        <v>0.28571428571428598</v>
      </c>
      <c r="L18" s="1">
        <v>0.7</v>
      </c>
      <c r="M18" s="1">
        <v>718</v>
      </c>
      <c r="N18" s="44" t="s">
        <v>86</v>
      </c>
      <c r="O18" s="15">
        <v>1570087</v>
      </c>
      <c r="P18" s="15">
        <v>1</v>
      </c>
      <c r="Q18" s="15">
        <v>2</v>
      </c>
      <c r="R18" s="15">
        <v>1</v>
      </c>
      <c r="T18" s="17"/>
      <c r="U18" s="1"/>
    </row>
    <row r="19" spans="1:21" ht="16">
      <c r="A19" s="36" t="s">
        <v>87</v>
      </c>
      <c r="B19" s="34" t="s">
        <v>18</v>
      </c>
      <c r="C19" s="34" t="s">
        <v>88</v>
      </c>
      <c r="D19" s="1" t="s">
        <v>89</v>
      </c>
      <c r="E19" s="40">
        <v>57600</v>
      </c>
      <c r="F19" s="41">
        <v>228000</v>
      </c>
      <c r="G19" s="1">
        <v>49900</v>
      </c>
      <c r="H19" s="40">
        <v>159</v>
      </c>
      <c r="I19" s="1">
        <v>6</v>
      </c>
      <c r="J19" s="1">
        <v>1</v>
      </c>
      <c r="K19" s="1">
        <v>0.85714285714285698</v>
      </c>
      <c r="L19" s="1">
        <v>0.7</v>
      </c>
      <c r="M19" s="1">
        <v>4977</v>
      </c>
      <c r="N19" s="40" t="s">
        <v>90</v>
      </c>
      <c r="O19" s="15">
        <v>3807958</v>
      </c>
      <c r="P19" s="15">
        <v>1</v>
      </c>
      <c r="Q19" s="15">
        <v>2</v>
      </c>
      <c r="R19" s="15">
        <v>1</v>
      </c>
      <c r="T19" s="17"/>
      <c r="U19" s="1"/>
    </row>
    <row r="20" spans="1:21" ht="16">
      <c r="A20" s="33" t="s">
        <v>91</v>
      </c>
      <c r="B20" s="34" t="s">
        <v>18</v>
      </c>
      <c r="C20" s="34" t="s">
        <v>92</v>
      </c>
      <c r="D20" s="1" t="s">
        <v>93</v>
      </c>
      <c r="E20" s="40">
        <v>44600</v>
      </c>
      <c r="F20" s="41">
        <v>159000</v>
      </c>
      <c r="G20" s="1">
        <v>52000</v>
      </c>
      <c r="H20" s="40">
        <v>140</v>
      </c>
      <c r="I20" s="1">
        <v>6</v>
      </c>
      <c r="J20" s="1">
        <v>0</v>
      </c>
      <c r="K20" s="1">
        <v>1</v>
      </c>
      <c r="L20" s="1">
        <v>0.7</v>
      </c>
      <c r="M20" s="1">
        <v>769</v>
      </c>
      <c r="N20" s="40" t="s">
        <v>94</v>
      </c>
      <c r="O20" s="15">
        <v>4174569</v>
      </c>
      <c r="P20" s="15">
        <v>1</v>
      </c>
      <c r="Q20" s="15">
        <v>2</v>
      </c>
      <c r="R20" s="15">
        <v>1</v>
      </c>
      <c r="T20" s="17"/>
      <c r="U20" s="1"/>
    </row>
    <row r="21" spans="1:21" ht="16">
      <c r="A21" s="33" t="s">
        <v>95</v>
      </c>
      <c r="B21" s="34" t="s">
        <v>18</v>
      </c>
      <c r="C21" s="34" t="s">
        <v>96</v>
      </c>
      <c r="D21" s="1" t="s">
        <v>97</v>
      </c>
      <c r="E21" s="40">
        <v>152000</v>
      </c>
      <c r="F21" s="41">
        <v>86500</v>
      </c>
      <c r="G21" s="1">
        <v>32300</v>
      </c>
      <c r="H21" s="40">
        <v>163</v>
      </c>
      <c r="I21" s="1">
        <v>6</v>
      </c>
      <c r="J21" s="1">
        <v>1</v>
      </c>
      <c r="K21" s="1">
        <v>1</v>
      </c>
      <c r="L21" s="1">
        <v>0.6</v>
      </c>
      <c r="M21" s="1">
        <v>2011</v>
      </c>
      <c r="N21" s="42" t="s">
        <v>98</v>
      </c>
      <c r="O21" s="15">
        <v>14914196</v>
      </c>
      <c r="P21" s="15">
        <v>1</v>
      </c>
      <c r="Q21" s="15">
        <v>2</v>
      </c>
      <c r="R21" s="15">
        <v>1</v>
      </c>
      <c r="T21" s="17"/>
      <c r="U21" s="1"/>
    </row>
    <row r="22" spans="1:21" ht="16">
      <c r="A22" s="33" t="s">
        <v>99</v>
      </c>
      <c r="B22" s="34" t="s">
        <v>18</v>
      </c>
      <c r="C22" s="34" t="s">
        <v>100</v>
      </c>
      <c r="D22" s="1" t="s">
        <v>101</v>
      </c>
      <c r="E22" s="40">
        <v>51800</v>
      </c>
      <c r="F22" s="41">
        <v>50700</v>
      </c>
      <c r="G22" s="1">
        <v>108000</v>
      </c>
      <c r="H22" s="40">
        <v>227</v>
      </c>
      <c r="I22" s="1">
        <v>6</v>
      </c>
      <c r="J22" s="1">
        <v>1</v>
      </c>
      <c r="K22" s="1">
        <v>0.71428571428571397</v>
      </c>
      <c r="L22" s="1">
        <v>0.7</v>
      </c>
      <c r="M22" s="1">
        <v>1138</v>
      </c>
      <c r="N22" s="40" t="s">
        <v>102</v>
      </c>
      <c r="O22" s="15">
        <v>44921479</v>
      </c>
      <c r="P22" s="15">
        <v>1</v>
      </c>
      <c r="Q22" s="15">
        <v>2</v>
      </c>
      <c r="R22" s="15">
        <v>1</v>
      </c>
      <c r="T22" s="17"/>
      <c r="U22" s="1"/>
    </row>
    <row r="23" spans="1:21" ht="16">
      <c r="A23" s="35" t="s">
        <v>103</v>
      </c>
      <c r="B23" s="34" t="s">
        <v>18</v>
      </c>
      <c r="C23" s="1" t="s">
        <v>104</v>
      </c>
      <c r="D23" s="1" t="s">
        <v>105</v>
      </c>
      <c r="E23" s="15">
        <v>448000</v>
      </c>
      <c r="F23" s="15">
        <v>503249</v>
      </c>
      <c r="G23" s="15">
        <v>68300</v>
      </c>
      <c r="H23" s="15">
        <v>182</v>
      </c>
      <c r="I23" s="15">
        <v>6</v>
      </c>
      <c r="J23" s="15">
        <v>0</v>
      </c>
      <c r="K23" s="15">
        <v>0.57142857142857095</v>
      </c>
      <c r="L23" s="15">
        <v>0.9</v>
      </c>
      <c r="M23" s="15">
        <v>36</v>
      </c>
      <c r="N23" s="1" t="s">
        <v>106</v>
      </c>
      <c r="O23" s="15">
        <v>7537271</v>
      </c>
      <c r="P23" s="15">
        <v>1</v>
      </c>
      <c r="Q23" s="15">
        <v>2</v>
      </c>
      <c r="R23" s="15">
        <v>1</v>
      </c>
    </row>
    <row r="24" spans="1:21" ht="16">
      <c r="A24" s="33" t="s">
        <v>107</v>
      </c>
      <c r="B24" s="34" t="s">
        <v>18</v>
      </c>
      <c r="C24" s="34" t="s">
        <v>108</v>
      </c>
      <c r="D24" s="1" t="s">
        <v>109</v>
      </c>
      <c r="E24" s="40">
        <v>78000</v>
      </c>
      <c r="F24" s="41">
        <v>336000</v>
      </c>
      <c r="G24" s="1">
        <v>65400</v>
      </c>
      <c r="H24" s="40">
        <v>211</v>
      </c>
      <c r="I24" s="1">
        <v>6</v>
      </c>
      <c r="J24" s="1">
        <v>0</v>
      </c>
      <c r="K24" s="1">
        <v>0.57142857142857095</v>
      </c>
      <c r="L24" s="1">
        <v>0.7</v>
      </c>
      <c r="M24" s="1">
        <v>7068</v>
      </c>
      <c r="N24" s="42" t="s">
        <v>42</v>
      </c>
      <c r="O24" s="15">
        <v>48250931</v>
      </c>
      <c r="P24" s="15">
        <v>1</v>
      </c>
      <c r="Q24" s="15">
        <v>2</v>
      </c>
      <c r="R24" s="15">
        <v>1</v>
      </c>
      <c r="T24" s="17"/>
      <c r="U24" s="1"/>
    </row>
    <row r="25" spans="1:21" ht="16">
      <c r="A25" s="35" t="s">
        <v>110</v>
      </c>
      <c r="B25" s="34" t="s">
        <v>18</v>
      </c>
      <c r="C25" s="1" t="s">
        <v>111</v>
      </c>
      <c r="D25" s="37" t="s">
        <v>112</v>
      </c>
      <c r="E25" s="15">
        <v>101000</v>
      </c>
      <c r="F25" s="15">
        <v>391000</v>
      </c>
      <c r="G25" s="15">
        <v>108000</v>
      </c>
      <c r="H25" s="15">
        <v>168</v>
      </c>
      <c r="I25" s="15">
        <v>6</v>
      </c>
      <c r="J25" s="15">
        <v>0</v>
      </c>
      <c r="K25" s="15">
        <v>0.42857142857142899</v>
      </c>
      <c r="L25" s="15">
        <v>0.8</v>
      </c>
      <c r="M25" s="15">
        <v>3475</v>
      </c>
      <c r="N25" s="1" t="s">
        <v>113</v>
      </c>
      <c r="O25" s="15">
        <v>792285</v>
      </c>
      <c r="P25" s="15">
        <v>1</v>
      </c>
      <c r="Q25" s="15">
        <v>2</v>
      </c>
      <c r="R25" s="15">
        <v>1</v>
      </c>
    </row>
    <row r="26" spans="1:21" ht="16">
      <c r="A26" s="36" t="s">
        <v>114</v>
      </c>
      <c r="B26" s="34" t="s">
        <v>18</v>
      </c>
      <c r="C26" s="34" t="s">
        <v>115</v>
      </c>
      <c r="D26" s="1" t="s">
        <v>116</v>
      </c>
      <c r="E26" s="40">
        <v>3340000</v>
      </c>
      <c r="F26" s="41">
        <v>2700000</v>
      </c>
      <c r="G26" s="1">
        <v>493500</v>
      </c>
      <c r="H26" s="40">
        <v>218</v>
      </c>
      <c r="I26" s="1">
        <v>6</v>
      </c>
      <c r="J26" s="1">
        <v>0</v>
      </c>
      <c r="K26" s="1">
        <v>0.42857142857142899</v>
      </c>
      <c r="L26" s="1">
        <v>0.7</v>
      </c>
      <c r="M26" s="1">
        <v>4061</v>
      </c>
      <c r="N26" s="40" t="s">
        <v>117</v>
      </c>
      <c r="O26" s="15">
        <v>65296342</v>
      </c>
      <c r="P26" s="15">
        <v>1</v>
      </c>
      <c r="Q26" s="15">
        <v>2</v>
      </c>
      <c r="R26" s="15">
        <v>1</v>
      </c>
      <c r="T26" s="17"/>
      <c r="U26" s="1"/>
    </row>
    <row r="27" spans="1:21" ht="16">
      <c r="A27" s="33" t="s">
        <v>118</v>
      </c>
      <c r="B27" s="34" t="s">
        <v>18</v>
      </c>
      <c r="C27" s="34" t="s">
        <v>119</v>
      </c>
      <c r="D27" s="1" t="s">
        <v>120</v>
      </c>
      <c r="E27" s="40">
        <v>76100</v>
      </c>
      <c r="F27" s="41">
        <v>184000</v>
      </c>
      <c r="G27" s="1">
        <v>21400</v>
      </c>
      <c r="H27" s="40">
        <v>192</v>
      </c>
      <c r="I27" s="1">
        <v>6</v>
      </c>
      <c r="J27" s="1">
        <v>0</v>
      </c>
      <c r="K27" s="1">
        <v>0.42857142857142899</v>
      </c>
      <c r="L27" s="1">
        <v>0.9</v>
      </c>
      <c r="M27" s="1">
        <v>12897</v>
      </c>
      <c r="N27" s="40" t="s">
        <v>121</v>
      </c>
      <c r="O27" s="15">
        <v>33515031</v>
      </c>
      <c r="P27" s="15">
        <v>1</v>
      </c>
      <c r="Q27" s="15">
        <v>1</v>
      </c>
      <c r="R27" s="1">
        <v>1</v>
      </c>
      <c r="T27" s="17"/>
      <c r="U27" s="1"/>
    </row>
    <row r="28" spans="1:21" ht="16">
      <c r="A28" s="36" t="s">
        <v>122</v>
      </c>
      <c r="B28" s="34" t="s">
        <v>18</v>
      </c>
      <c r="C28" s="34" t="s">
        <v>123</v>
      </c>
      <c r="D28" s="1" t="s">
        <v>124</v>
      </c>
      <c r="E28" s="40">
        <v>899000</v>
      </c>
      <c r="F28" s="41">
        <v>1800000</v>
      </c>
      <c r="G28" s="1">
        <v>178200</v>
      </c>
      <c r="H28" s="40">
        <v>180</v>
      </c>
      <c r="I28" s="1">
        <v>6</v>
      </c>
      <c r="J28" s="1">
        <v>0</v>
      </c>
      <c r="K28" s="1">
        <v>0.28571428571428598</v>
      </c>
      <c r="L28" s="1">
        <v>0.8</v>
      </c>
      <c r="M28" s="1">
        <v>690</v>
      </c>
      <c r="N28" s="40" t="s">
        <v>125</v>
      </c>
      <c r="O28" s="15">
        <v>241851307</v>
      </c>
      <c r="P28" s="15">
        <v>1</v>
      </c>
      <c r="Q28" s="15">
        <v>2</v>
      </c>
      <c r="R28" s="15">
        <v>1</v>
      </c>
      <c r="T28" s="17"/>
      <c r="U28" s="1"/>
    </row>
    <row r="29" spans="1:21" ht="17">
      <c r="A29" s="38" t="s">
        <v>126</v>
      </c>
      <c r="B29" s="39" t="s">
        <v>127</v>
      </c>
      <c r="C29" s="39" t="s">
        <v>128</v>
      </c>
      <c r="D29" s="1" t="s">
        <v>129</v>
      </c>
      <c r="E29" s="40">
        <v>1800000</v>
      </c>
      <c r="F29" s="41">
        <v>1800000</v>
      </c>
      <c r="G29" s="1">
        <v>582800</v>
      </c>
      <c r="H29" s="40">
        <v>133</v>
      </c>
      <c r="I29" s="1">
        <v>6</v>
      </c>
      <c r="J29" s="1">
        <v>0</v>
      </c>
      <c r="K29" s="1">
        <v>0.14285714285714299</v>
      </c>
      <c r="L29" s="1">
        <v>0.7</v>
      </c>
      <c r="M29" s="1">
        <v>8529</v>
      </c>
      <c r="N29" s="40" t="s">
        <v>130</v>
      </c>
      <c r="O29" s="15">
        <v>30058555</v>
      </c>
      <c r="P29" s="15">
        <v>1</v>
      </c>
      <c r="Q29" s="15">
        <v>2</v>
      </c>
      <c r="R29" s="15">
        <v>1</v>
      </c>
      <c r="T29" s="17"/>
      <c r="U29" s="1"/>
    </row>
    <row r="30" spans="1:21" ht="17">
      <c r="A30" s="38" t="s">
        <v>131</v>
      </c>
      <c r="B30" s="39" t="s">
        <v>132</v>
      </c>
      <c r="C30" s="39" t="s">
        <v>133</v>
      </c>
      <c r="D30" s="1" t="s">
        <v>134</v>
      </c>
      <c r="E30" s="40">
        <v>8920</v>
      </c>
      <c r="F30" s="41">
        <v>151000</v>
      </c>
      <c r="G30" s="1">
        <v>7979</v>
      </c>
      <c r="H30" s="40">
        <v>100</v>
      </c>
      <c r="I30" s="1">
        <v>6</v>
      </c>
      <c r="J30" s="1">
        <v>0</v>
      </c>
      <c r="K30" s="1">
        <v>0.28571428571428598</v>
      </c>
      <c r="L30" s="1">
        <v>0.7</v>
      </c>
      <c r="M30" s="1">
        <v>263</v>
      </c>
      <c r="N30" s="40" t="s">
        <v>135</v>
      </c>
      <c r="O30" s="15">
        <v>118494320</v>
      </c>
      <c r="P30" s="15">
        <v>1</v>
      </c>
      <c r="Q30" s="15">
        <v>2</v>
      </c>
      <c r="R30" s="1">
        <v>1</v>
      </c>
      <c r="T30" s="17"/>
      <c r="U30" s="1"/>
    </row>
    <row r="31" spans="1:21" ht="16">
      <c r="A31" s="38" t="s">
        <v>136</v>
      </c>
      <c r="B31" s="34" t="s">
        <v>132</v>
      </c>
      <c r="C31" s="34" t="s">
        <v>137</v>
      </c>
      <c r="D31" s="1" t="s">
        <v>138</v>
      </c>
      <c r="E31" s="40">
        <v>361000</v>
      </c>
      <c r="F31" s="41">
        <v>283000</v>
      </c>
      <c r="G31" s="1">
        <v>42100</v>
      </c>
      <c r="H31" s="40">
        <v>80</v>
      </c>
      <c r="I31" s="1">
        <v>6</v>
      </c>
      <c r="J31" s="1">
        <v>0</v>
      </c>
      <c r="K31" s="1">
        <v>0.42857142857142899</v>
      </c>
      <c r="L31" s="1">
        <v>0.7</v>
      </c>
      <c r="M31" s="1">
        <v>685</v>
      </c>
      <c r="N31" s="40" t="s">
        <v>139</v>
      </c>
      <c r="O31" s="15">
        <v>26570475</v>
      </c>
      <c r="P31" s="15">
        <v>1</v>
      </c>
      <c r="Q31" s="15">
        <v>2</v>
      </c>
      <c r="R31" s="15">
        <v>1</v>
      </c>
      <c r="T31" s="17"/>
      <c r="U31" s="1"/>
    </row>
    <row r="32" spans="1:21" ht="16">
      <c r="A32" s="38" t="s">
        <v>140</v>
      </c>
      <c r="B32" s="34" t="s">
        <v>132</v>
      </c>
      <c r="C32" s="34" t="s">
        <v>141</v>
      </c>
      <c r="D32" s="1" t="s">
        <v>142</v>
      </c>
      <c r="E32" s="40">
        <v>97400</v>
      </c>
      <c r="F32" s="41">
        <v>224000</v>
      </c>
      <c r="G32" s="1">
        <v>30800</v>
      </c>
      <c r="H32" s="40">
        <v>100</v>
      </c>
      <c r="I32" s="1">
        <v>6</v>
      </c>
      <c r="J32" s="1">
        <v>0</v>
      </c>
      <c r="K32" s="1">
        <v>0.42857142857142899</v>
      </c>
      <c r="L32" s="1">
        <v>0.6</v>
      </c>
      <c r="M32" s="1">
        <v>244</v>
      </c>
      <c r="N32" s="40" t="s">
        <v>143</v>
      </c>
      <c r="O32" s="15">
        <v>9934450</v>
      </c>
      <c r="P32" s="15">
        <v>1</v>
      </c>
      <c r="Q32" s="15">
        <v>2</v>
      </c>
      <c r="R32" s="15">
        <v>1</v>
      </c>
      <c r="T32" s="17"/>
      <c r="U32" s="1"/>
    </row>
    <row r="33" spans="1:21" ht="17">
      <c r="A33" s="45" t="s">
        <v>144</v>
      </c>
      <c r="B33" s="39" t="s">
        <v>145</v>
      </c>
      <c r="C33" s="39" t="s">
        <v>146</v>
      </c>
      <c r="D33" s="46" t="s">
        <v>147</v>
      </c>
      <c r="E33" s="40">
        <v>195000</v>
      </c>
      <c r="F33" s="41">
        <v>157000</v>
      </c>
      <c r="G33" s="1">
        <v>119100</v>
      </c>
      <c r="H33" s="40">
        <v>190</v>
      </c>
      <c r="I33" s="1">
        <v>6</v>
      </c>
      <c r="J33" s="1">
        <v>0</v>
      </c>
      <c r="K33" s="1">
        <v>0.42857142857142899</v>
      </c>
      <c r="L33" s="1">
        <v>0.6</v>
      </c>
      <c r="M33" s="1">
        <v>1275</v>
      </c>
      <c r="N33" s="40" t="s">
        <v>148</v>
      </c>
      <c r="O33" s="15">
        <v>28131383</v>
      </c>
      <c r="P33" s="15">
        <v>1</v>
      </c>
      <c r="Q33" s="15">
        <v>2</v>
      </c>
      <c r="R33" s="15">
        <v>1</v>
      </c>
      <c r="T33" s="17"/>
      <c r="U33" s="1"/>
    </row>
    <row r="34" spans="1:21" ht="16">
      <c r="A34" s="45" t="s">
        <v>149</v>
      </c>
      <c r="B34" s="34" t="s">
        <v>145</v>
      </c>
      <c r="C34" s="34" t="s">
        <v>150</v>
      </c>
      <c r="D34" s="46" t="s">
        <v>151</v>
      </c>
      <c r="E34" s="40">
        <v>11700000</v>
      </c>
      <c r="F34" s="41">
        <v>3130000</v>
      </c>
      <c r="G34" s="1">
        <v>25000000</v>
      </c>
      <c r="H34" s="40">
        <v>108</v>
      </c>
      <c r="I34" s="1">
        <v>6</v>
      </c>
      <c r="J34" s="1">
        <v>0</v>
      </c>
      <c r="K34" s="1">
        <v>0.42857142857142899</v>
      </c>
      <c r="L34" s="1">
        <v>0.6</v>
      </c>
      <c r="M34" s="1">
        <v>1449</v>
      </c>
      <c r="N34" s="40" t="s">
        <v>152</v>
      </c>
      <c r="O34" s="15">
        <v>13109021</v>
      </c>
      <c r="P34" s="15">
        <v>1</v>
      </c>
      <c r="Q34" s="15">
        <v>2</v>
      </c>
      <c r="R34" s="1">
        <v>1</v>
      </c>
      <c r="T34" s="17"/>
      <c r="U34" s="1"/>
    </row>
    <row r="35" spans="1:21" ht="16">
      <c r="A35" s="45" t="s">
        <v>153</v>
      </c>
      <c r="B35" s="34" t="s">
        <v>145</v>
      </c>
      <c r="C35" s="34" t="s">
        <v>154</v>
      </c>
      <c r="D35" s="46" t="s">
        <v>155</v>
      </c>
      <c r="E35" s="40">
        <v>0</v>
      </c>
      <c r="F35" s="41">
        <v>11000</v>
      </c>
      <c r="G35" s="1">
        <v>591</v>
      </c>
      <c r="H35" s="40">
        <v>75</v>
      </c>
      <c r="I35" s="1">
        <v>6</v>
      </c>
      <c r="J35" s="1">
        <v>0</v>
      </c>
      <c r="K35" s="1">
        <v>0.42857142857142899</v>
      </c>
      <c r="L35" s="1">
        <v>0.7</v>
      </c>
      <c r="M35" s="1">
        <v>775</v>
      </c>
      <c r="N35" s="40" t="s">
        <v>156</v>
      </c>
      <c r="O35" s="15">
        <v>3321929</v>
      </c>
      <c r="P35" s="15">
        <v>1</v>
      </c>
      <c r="Q35" s="15">
        <v>2</v>
      </c>
      <c r="R35" s="15">
        <v>1</v>
      </c>
      <c r="T35" s="17"/>
      <c r="U35" s="1"/>
    </row>
    <row r="36" spans="1:21" ht="16">
      <c r="A36" s="45" t="s">
        <v>157</v>
      </c>
      <c r="B36" s="34" t="s">
        <v>145</v>
      </c>
      <c r="C36" s="34" t="s">
        <v>158</v>
      </c>
      <c r="D36" s="46" t="s">
        <v>159</v>
      </c>
      <c r="E36" s="40">
        <v>16800</v>
      </c>
      <c r="F36" s="41">
        <v>22060</v>
      </c>
      <c r="G36" s="1">
        <v>17500</v>
      </c>
      <c r="H36" s="40">
        <v>130</v>
      </c>
      <c r="I36" s="1">
        <v>6</v>
      </c>
      <c r="J36" s="1">
        <v>1</v>
      </c>
      <c r="K36" s="1">
        <v>0.57142857142857095</v>
      </c>
      <c r="L36" s="1">
        <v>0.8</v>
      </c>
      <c r="M36" s="1">
        <v>430</v>
      </c>
      <c r="N36" s="40" t="s">
        <v>94</v>
      </c>
      <c r="O36" s="15">
        <v>3136555</v>
      </c>
      <c r="P36" s="15">
        <v>1</v>
      </c>
      <c r="Q36" s="15">
        <v>2</v>
      </c>
      <c r="R36" s="15">
        <v>1</v>
      </c>
      <c r="T36" s="17"/>
      <c r="U36" s="1"/>
    </row>
    <row r="37" spans="1:21" ht="16">
      <c r="A37" s="47" t="s">
        <v>160</v>
      </c>
      <c r="B37" s="34" t="s">
        <v>161</v>
      </c>
      <c r="C37" s="34" t="s">
        <v>162</v>
      </c>
      <c r="D37" s="46" t="s">
        <v>163</v>
      </c>
      <c r="E37" s="40">
        <v>236000</v>
      </c>
      <c r="F37" s="41">
        <v>115253</v>
      </c>
      <c r="G37" s="1">
        <v>6562</v>
      </c>
      <c r="H37" s="40">
        <v>100</v>
      </c>
      <c r="I37" s="1">
        <v>6</v>
      </c>
      <c r="J37" s="1">
        <v>0</v>
      </c>
      <c r="K37" s="1">
        <v>0.57142857142857095</v>
      </c>
      <c r="L37" s="1">
        <v>0.6</v>
      </c>
      <c r="M37" s="1">
        <v>62</v>
      </c>
      <c r="N37" s="40" t="s">
        <v>164</v>
      </c>
      <c r="O37" s="15">
        <v>7181605</v>
      </c>
      <c r="P37" s="15">
        <v>1</v>
      </c>
      <c r="Q37" s="15">
        <v>2</v>
      </c>
      <c r="R37" s="1">
        <v>0</v>
      </c>
      <c r="T37" s="17"/>
      <c r="U37" s="1"/>
    </row>
    <row r="38" spans="1:21" ht="16">
      <c r="A38" s="47" t="s">
        <v>165</v>
      </c>
      <c r="B38" s="40" t="s">
        <v>161</v>
      </c>
      <c r="C38" s="40" t="s">
        <v>166</v>
      </c>
      <c r="D38" s="46" t="s">
        <v>167</v>
      </c>
      <c r="E38" s="40">
        <v>308000</v>
      </c>
      <c r="F38" s="41">
        <v>392000</v>
      </c>
      <c r="G38" s="1">
        <v>32000</v>
      </c>
      <c r="H38" s="40">
        <v>190</v>
      </c>
      <c r="I38" s="1">
        <v>6</v>
      </c>
      <c r="J38" s="1">
        <v>0</v>
      </c>
      <c r="K38" s="1">
        <v>0.14285714285714299</v>
      </c>
      <c r="L38" s="1">
        <v>0.7</v>
      </c>
      <c r="M38" s="1">
        <v>4547</v>
      </c>
      <c r="N38" s="40" t="s">
        <v>98</v>
      </c>
      <c r="O38" s="15">
        <v>102372261</v>
      </c>
      <c r="P38" s="15">
        <v>1</v>
      </c>
      <c r="Q38" s="15">
        <v>2</v>
      </c>
      <c r="R38" s="1">
        <v>0</v>
      </c>
      <c r="T38" s="17"/>
      <c r="U38" s="1"/>
    </row>
    <row r="39" spans="1:21" ht="16">
      <c r="A39" s="48" t="s">
        <v>168</v>
      </c>
      <c r="B39" s="49" t="s">
        <v>169</v>
      </c>
      <c r="C39" s="49" t="s">
        <v>170</v>
      </c>
      <c r="D39" s="50" t="s">
        <v>171</v>
      </c>
      <c r="E39" s="49">
        <v>749000</v>
      </c>
      <c r="F39" s="57">
        <v>434000</v>
      </c>
      <c r="G39" s="26">
        <v>48300</v>
      </c>
      <c r="H39" s="49">
        <v>198</v>
      </c>
      <c r="I39" s="26">
        <v>6</v>
      </c>
      <c r="J39" s="26">
        <v>0</v>
      </c>
      <c r="K39" s="26">
        <v>0.14285714285714299</v>
      </c>
      <c r="L39" s="26">
        <v>0.6</v>
      </c>
      <c r="M39" s="26">
        <v>1354</v>
      </c>
      <c r="N39" s="49" t="s">
        <v>172</v>
      </c>
      <c r="O39" s="59">
        <v>66179125</v>
      </c>
      <c r="P39" s="15">
        <v>1</v>
      </c>
      <c r="Q39" s="15">
        <v>2</v>
      </c>
      <c r="R39" s="15">
        <v>0</v>
      </c>
      <c r="T39" s="25"/>
      <c r="U39" s="26"/>
    </row>
    <row r="40" spans="1:21" ht="16">
      <c r="A40" s="51" t="s">
        <v>173</v>
      </c>
      <c r="B40" s="1" t="s">
        <v>174</v>
      </c>
      <c r="C40" s="1" t="s">
        <v>175</v>
      </c>
      <c r="D40" s="46" t="s">
        <v>176</v>
      </c>
      <c r="E40" s="1">
        <v>220000</v>
      </c>
      <c r="F40" s="46">
        <v>412000</v>
      </c>
      <c r="G40" s="1">
        <v>284400</v>
      </c>
      <c r="H40" s="1">
        <v>201</v>
      </c>
      <c r="I40" s="1">
        <v>6</v>
      </c>
      <c r="J40" s="1">
        <v>1</v>
      </c>
      <c r="K40" s="1">
        <v>1</v>
      </c>
      <c r="L40" s="1">
        <v>0</v>
      </c>
      <c r="M40" s="1">
        <v>62</v>
      </c>
      <c r="N40" s="46" t="s">
        <v>177</v>
      </c>
      <c r="O40" s="15">
        <v>62622948</v>
      </c>
      <c r="P40" s="15">
        <v>0</v>
      </c>
      <c r="Q40" s="15">
        <v>1</v>
      </c>
      <c r="R40" s="15">
        <v>0</v>
      </c>
      <c r="T40" s="17"/>
      <c r="U40" s="1"/>
    </row>
    <row r="41" spans="1:21">
      <c r="A41" s="51" t="s">
        <v>178</v>
      </c>
      <c r="B41" s="1" t="s">
        <v>174</v>
      </c>
      <c r="C41" s="52" t="s">
        <v>179</v>
      </c>
      <c r="D41" s="1" t="s">
        <v>180</v>
      </c>
      <c r="E41" s="15">
        <v>178000</v>
      </c>
      <c r="F41" s="58">
        <v>2221517</v>
      </c>
      <c r="G41" s="15">
        <v>1300000</v>
      </c>
      <c r="H41" s="15">
        <v>245</v>
      </c>
      <c r="I41" s="15">
        <v>6</v>
      </c>
      <c r="J41" s="15">
        <v>1</v>
      </c>
      <c r="K41" s="15">
        <v>0.14285714285714299</v>
      </c>
      <c r="L41" s="15">
        <v>0</v>
      </c>
      <c r="M41" s="15">
        <v>325</v>
      </c>
      <c r="N41" s="1" t="s">
        <v>181</v>
      </c>
      <c r="O41" s="15">
        <v>89274802</v>
      </c>
      <c r="P41" s="15">
        <v>0</v>
      </c>
      <c r="Q41" s="15">
        <v>2</v>
      </c>
      <c r="R41" s="15">
        <v>0</v>
      </c>
    </row>
    <row r="42" spans="1:21">
      <c r="A42" s="51" t="s">
        <v>182</v>
      </c>
      <c r="B42" s="1" t="s">
        <v>174</v>
      </c>
      <c r="C42" s="53" t="s">
        <v>183</v>
      </c>
      <c r="D42" s="54" t="s">
        <v>184</v>
      </c>
      <c r="E42" s="1">
        <v>177000</v>
      </c>
      <c r="F42" s="15">
        <v>60215</v>
      </c>
      <c r="G42" s="15">
        <v>603000</v>
      </c>
      <c r="H42" s="15">
        <v>115</v>
      </c>
      <c r="I42" s="15">
        <v>6</v>
      </c>
      <c r="J42" s="15">
        <v>1</v>
      </c>
      <c r="K42" s="15">
        <v>0.14285714285714299</v>
      </c>
      <c r="L42" s="15">
        <v>0.5</v>
      </c>
      <c r="M42" s="15">
        <v>438</v>
      </c>
      <c r="N42" s="1" t="s">
        <v>185</v>
      </c>
      <c r="O42" s="15">
        <v>15425865</v>
      </c>
      <c r="P42" s="15">
        <v>0</v>
      </c>
      <c r="Q42" s="15">
        <v>2</v>
      </c>
      <c r="R42" s="15">
        <v>0</v>
      </c>
    </row>
    <row r="43" spans="1:21">
      <c r="A43" s="51" t="s">
        <v>186</v>
      </c>
      <c r="B43" s="1" t="s">
        <v>174</v>
      </c>
      <c r="C43" s="1" t="s">
        <v>187</v>
      </c>
      <c r="D43" s="1" t="s">
        <v>188</v>
      </c>
      <c r="E43" s="15">
        <v>93800</v>
      </c>
      <c r="F43" s="15">
        <v>42000</v>
      </c>
      <c r="G43" s="15">
        <v>123000</v>
      </c>
      <c r="H43" s="15">
        <v>140</v>
      </c>
      <c r="I43" s="15">
        <v>6</v>
      </c>
      <c r="J43" s="15">
        <v>0</v>
      </c>
      <c r="K43" s="15">
        <v>1</v>
      </c>
      <c r="L43" s="15">
        <v>0.6</v>
      </c>
      <c r="M43" s="1">
        <v>0</v>
      </c>
      <c r="N43" s="1" t="s">
        <v>189</v>
      </c>
      <c r="O43" s="15">
        <v>12793887</v>
      </c>
      <c r="P43" s="15">
        <v>0</v>
      </c>
      <c r="Q43" s="15">
        <v>2</v>
      </c>
      <c r="R43" s="15">
        <v>0</v>
      </c>
    </row>
    <row r="44" spans="1:21">
      <c r="A44" s="51" t="s">
        <v>190</v>
      </c>
      <c r="B44" s="1" t="s">
        <v>174</v>
      </c>
      <c r="C44" s="1" t="s">
        <v>191</v>
      </c>
      <c r="D44" s="1" t="s">
        <v>192</v>
      </c>
      <c r="E44" s="15">
        <v>489</v>
      </c>
      <c r="F44" s="15">
        <v>789</v>
      </c>
      <c r="G44" s="15">
        <v>127</v>
      </c>
      <c r="H44" s="15">
        <v>59</v>
      </c>
      <c r="I44" s="15">
        <v>6</v>
      </c>
      <c r="J44" s="15">
        <v>0</v>
      </c>
      <c r="K44" s="15">
        <v>1</v>
      </c>
      <c r="L44" s="15">
        <v>0.6</v>
      </c>
      <c r="M44" s="1">
        <v>0</v>
      </c>
      <c r="N44" s="1" t="s">
        <v>189</v>
      </c>
      <c r="O44" s="15">
        <v>33063819</v>
      </c>
      <c r="P44" s="15">
        <v>0</v>
      </c>
      <c r="Q44" s="15">
        <v>1</v>
      </c>
      <c r="R44" s="15">
        <v>0</v>
      </c>
    </row>
    <row r="45" spans="1:21">
      <c r="A45" s="51" t="s">
        <v>193</v>
      </c>
      <c r="B45" s="1" t="s">
        <v>174</v>
      </c>
      <c r="C45" s="1" t="s">
        <v>194</v>
      </c>
      <c r="D45" s="54" t="s">
        <v>195</v>
      </c>
      <c r="E45" s="1">
        <v>0</v>
      </c>
      <c r="F45" s="1">
        <v>0</v>
      </c>
      <c r="G45" s="1">
        <v>0</v>
      </c>
      <c r="H45" s="15">
        <v>12</v>
      </c>
      <c r="I45" s="15">
        <v>3</v>
      </c>
      <c r="J45" s="15">
        <v>0</v>
      </c>
      <c r="K45" s="15">
        <v>1</v>
      </c>
      <c r="L45" s="15">
        <v>0.7</v>
      </c>
      <c r="M45" s="1">
        <v>0</v>
      </c>
      <c r="N45" s="1" t="s">
        <v>196</v>
      </c>
      <c r="O45" s="15">
        <v>2052500</v>
      </c>
      <c r="P45" s="15">
        <v>0</v>
      </c>
      <c r="Q45" s="15">
        <v>1</v>
      </c>
      <c r="R45" s="15">
        <v>0</v>
      </c>
    </row>
    <row r="46" spans="1:21">
      <c r="A46" s="51" t="s">
        <v>197</v>
      </c>
      <c r="B46" s="1" t="s">
        <v>174</v>
      </c>
      <c r="C46" s="1" t="s">
        <v>26</v>
      </c>
      <c r="D46" s="54" t="s">
        <v>198</v>
      </c>
      <c r="E46" s="15">
        <v>0</v>
      </c>
      <c r="F46" s="15">
        <v>0</v>
      </c>
      <c r="G46" s="15">
        <v>0</v>
      </c>
      <c r="H46" s="15">
        <v>0</v>
      </c>
      <c r="I46" s="15">
        <v>3</v>
      </c>
      <c r="J46" s="15">
        <v>0</v>
      </c>
      <c r="K46" s="15">
        <v>1</v>
      </c>
      <c r="L46" s="15">
        <v>0.7</v>
      </c>
      <c r="M46" s="15">
        <v>0</v>
      </c>
      <c r="N46" s="1">
        <v>0</v>
      </c>
      <c r="O46" s="15">
        <v>6399424</v>
      </c>
      <c r="P46" s="15">
        <v>0</v>
      </c>
      <c r="Q46" s="15">
        <v>2</v>
      </c>
      <c r="R46" s="15">
        <v>0</v>
      </c>
    </row>
    <row r="47" spans="1:21">
      <c r="A47" s="51" t="s">
        <v>199</v>
      </c>
      <c r="B47" s="1" t="s">
        <v>174</v>
      </c>
      <c r="C47" s="1" t="s">
        <v>200</v>
      </c>
      <c r="D47" s="54" t="s">
        <v>201</v>
      </c>
      <c r="E47" s="15">
        <v>11600</v>
      </c>
      <c r="F47" s="15">
        <v>69000</v>
      </c>
      <c r="G47" s="15">
        <v>9051</v>
      </c>
      <c r="H47" s="15">
        <v>120</v>
      </c>
      <c r="I47" s="15">
        <v>6</v>
      </c>
      <c r="J47" s="15">
        <v>0</v>
      </c>
      <c r="K47" s="15">
        <v>1</v>
      </c>
      <c r="L47" s="15">
        <v>0.5</v>
      </c>
      <c r="M47" s="1">
        <v>0</v>
      </c>
      <c r="N47" s="1" t="s">
        <v>202</v>
      </c>
      <c r="O47" s="15">
        <v>24318388</v>
      </c>
      <c r="P47" s="15">
        <v>0</v>
      </c>
      <c r="Q47" s="15">
        <v>2</v>
      </c>
      <c r="R47" s="15">
        <v>0</v>
      </c>
    </row>
    <row r="48" spans="1:21">
      <c r="A48" s="51" t="s">
        <v>203</v>
      </c>
      <c r="B48" s="1" t="s">
        <v>174</v>
      </c>
      <c r="C48" s="1" t="s">
        <v>204</v>
      </c>
      <c r="D48" s="54" t="s">
        <v>205</v>
      </c>
      <c r="E48" s="15">
        <v>8450</v>
      </c>
      <c r="F48" s="15">
        <v>6543</v>
      </c>
      <c r="G48" s="15">
        <v>0</v>
      </c>
      <c r="H48" s="15">
        <v>90</v>
      </c>
      <c r="I48" s="15">
        <v>6</v>
      </c>
      <c r="J48" s="15">
        <v>0</v>
      </c>
      <c r="K48" s="15">
        <v>0.28571428571428598</v>
      </c>
      <c r="L48" s="15">
        <v>0.5</v>
      </c>
      <c r="M48" s="15">
        <v>2</v>
      </c>
      <c r="N48" s="1">
        <v>0</v>
      </c>
      <c r="O48" s="15">
        <v>88281705</v>
      </c>
      <c r="P48" s="15">
        <v>1</v>
      </c>
      <c r="Q48" s="15">
        <v>2</v>
      </c>
      <c r="R48" s="15">
        <v>0</v>
      </c>
    </row>
    <row r="49" spans="1:21">
      <c r="A49" s="51" t="s">
        <v>206</v>
      </c>
      <c r="B49" s="1" t="s">
        <v>174</v>
      </c>
      <c r="C49" s="1" t="s">
        <v>26</v>
      </c>
      <c r="D49" s="1" t="s">
        <v>26</v>
      </c>
      <c r="E49" s="15">
        <v>0</v>
      </c>
      <c r="F49" s="15">
        <v>0</v>
      </c>
      <c r="G49" s="15">
        <v>0</v>
      </c>
      <c r="H49" s="15">
        <v>0</v>
      </c>
      <c r="I49" s="15">
        <v>6</v>
      </c>
      <c r="J49" s="15">
        <v>0</v>
      </c>
      <c r="K49" s="15">
        <v>0.28571428571428598</v>
      </c>
      <c r="L49" s="15">
        <v>0.6</v>
      </c>
      <c r="M49" s="15">
        <v>0</v>
      </c>
      <c r="N49" s="1">
        <v>0</v>
      </c>
      <c r="O49" s="15">
        <v>18423062</v>
      </c>
      <c r="P49" s="15">
        <v>1</v>
      </c>
      <c r="Q49" s="15">
        <v>2</v>
      </c>
      <c r="R49" s="15">
        <v>0</v>
      </c>
      <c r="T49" s="1"/>
    </row>
    <row r="50" spans="1:21">
      <c r="A50" s="51" t="s">
        <v>207</v>
      </c>
      <c r="B50" s="1" t="s">
        <v>174</v>
      </c>
      <c r="C50" s="1" t="s">
        <v>208</v>
      </c>
      <c r="D50" s="54" t="s">
        <v>209</v>
      </c>
      <c r="E50" s="1">
        <v>0</v>
      </c>
      <c r="F50" s="1">
        <v>0</v>
      </c>
      <c r="G50" s="15">
        <v>393</v>
      </c>
      <c r="H50" s="15">
        <v>84</v>
      </c>
      <c r="I50" s="15">
        <v>6</v>
      </c>
      <c r="J50" s="15">
        <v>0</v>
      </c>
      <c r="K50" s="15">
        <v>0.71428571428571397</v>
      </c>
      <c r="L50" s="15">
        <v>0.7</v>
      </c>
      <c r="M50" s="1">
        <v>0</v>
      </c>
      <c r="N50" s="43" t="s">
        <v>210</v>
      </c>
      <c r="O50" s="15">
        <v>2529868</v>
      </c>
      <c r="P50" s="15">
        <v>0</v>
      </c>
      <c r="Q50" s="15">
        <v>1</v>
      </c>
      <c r="R50" s="15">
        <v>0</v>
      </c>
    </row>
    <row r="51" spans="1:21">
      <c r="A51" s="51" t="s">
        <v>211</v>
      </c>
      <c r="B51" s="1" t="s">
        <v>174</v>
      </c>
      <c r="C51" s="1" t="s">
        <v>212</v>
      </c>
      <c r="D51" s="1" t="s">
        <v>213</v>
      </c>
      <c r="E51" s="1">
        <v>0</v>
      </c>
      <c r="F51" s="15">
        <v>9823</v>
      </c>
      <c r="G51" s="15">
        <v>0</v>
      </c>
      <c r="H51" s="15">
        <v>64</v>
      </c>
      <c r="I51" s="15">
        <v>6</v>
      </c>
      <c r="J51" s="15">
        <v>0</v>
      </c>
      <c r="K51" s="15">
        <v>0.42857142857142899</v>
      </c>
      <c r="L51" s="15">
        <v>0.6</v>
      </c>
      <c r="M51" s="15">
        <v>17</v>
      </c>
      <c r="N51" s="60" t="s">
        <v>214</v>
      </c>
      <c r="O51" s="15">
        <v>5001983</v>
      </c>
      <c r="P51" s="15">
        <v>1</v>
      </c>
      <c r="Q51" s="15">
        <v>2</v>
      </c>
      <c r="R51" s="15">
        <v>0</v>
      </c>
    </row>
    <row r="52" spans="1:21">
      <c r="A52" s="51" t="s">
        <v>215</v>
      </c>
      <c r="B52" s="1" t="s">
        <v>174</v>
      </c>
      <c r="C52" s="1" t="s">
        <v>216</v>
      </c>
      <c r="D52" s="54" t="s">
        <v>217</v>
      </c>
      <c r="E52" s="1">
        <v>0</v>
      </c>
      <c r="F52" s="15">
        <v>1899</v>
      </c>
      <c r="G52" s="15">
        <v>0</v>
      </c>
      <c r="H52" s="15">
        <v>100</v>
      </c>
      <c r="I52" s="15">
        <v>6</v>
      </c>
      <c r="J52" s="15">
        <v>0</v>
      </c>
      <c r="K52" s="15">
        <v>1</v>
      </c>
      <c r="L52" s="15">
        <v>0.6</v>
      </c>
      <c r="M52" s="1">
        <v>0</v>
      </c>
      <c r="N52" s="1" t="s">
        <v>218</v>
      </c>
      <c r="O52" s="15">
        <v>1658546</v>
      </c>
      <c r="P52" s="15">
        <v>0</v>
      </c>
      <c r="Q52" s="15">
        <v>1</v>
      </c>
      <c r="R52" s="15">
        <v>0</v>
      </c>
    </row>
    <row r="53" spans="1:21">
      <c r="A53" s="51" t="s">
        <v>219</v>
      </c>
      <c r="B53" s="1" t="s">
        <v>174</v>
      </c>
      <c r="C53" s="1" t="s">
        <v>220</v>
      </c>
      <c r="D53" s="54" t="s">
        <v>221</v>
      </c>
      <c r="E53" s="15">
        <v>510</v>
      </c>
      <c r="F53" s="1">
        <v>0</v>
      </c>
      <c r="G53" s="15">
        <v>136</v>
      </c>
      <c r="H53" s="15">
        <v>79</v>
      </c>
      <c r="I53" s="15">
        <v>6</v>
      </c>
      <c r="J53" s="15">
        <v>0</v>
      </c>
      <c r="K53" s="15">
        <v>1</v>
      </c>
      <c r="L53" s="15">
        <v>0.4</v>
      </c>
      <c r="M53" s="15">
        <v>6</v>
      </c>
      <c r="N53" s="1" t="s">
        <v>222</v>
      </c>
      <c r="O53" s="15">
        <v>1764862</v>
      </c>
      <c r="P53" s="15">
        <v>0</v>
      </c>
      <c r="Q53" s="15">
        <v>1</v>
      </c>
      <c r="R53" s="15">
        <v>0</v>
      </c>
    </row>
    <row r="54" spans="1:21">
      <c r="A54" s="51" t="s">
        <v>223</v>
      </c>
      <c r="B54" s="1" t="s">
        <v>174</v>
      </c>
      <c r="C54" s="1" t="s">
        <v>26</v>
      </c>
      <c r="D54" s="15" t="s">
        <v>224</v>
      </c>
      <c r="E54" s="15">
        <v>0</v>
      </c>
      <c r="F54" s="15">
        <v>0</v>
      </c>
      <c r="G54" s="15">
        <v>0</v>
      </c>
      <c r="H54" s="15">
        <v>0</v>
      </c>
      <c r="I54" s="15">
        <v>3</v>
      </c>
      <c r="J54" s="15">
        <v>0</v>
      </c>
      <c r="K54" s="15">
        <v>0.28571428571428598</v>
      </c>
      <c r="L54" s="15">
        <v>0.9</v>
      </c>
      <c r="M54" s="15">
        <v>0</v>
      </c>
      <c r="N54" s="1" t="s">
        <v>218</v>
      </c>
      <c r="O54" s="15">
        <v>25015575</v>
      </c>
      <c r="P54" s="15">
        <v>1</v>
      </c>
      <c r="Q54" s="15">
        <v>2</v>
      </c>
      <c r="R54" s="15">
        <v>0</v>
      </c>
    </row>
    <row r="55" spans="1:21" ht="16">
      <c r="A55" s="51" t="s">
        <v>225</v>
      </c>
      <c r="B55" s="1" t="s">
        <v>174</v>
      </c>
      <c r="C55" s="1" t="s">
        <v>226</v>
      </c>
      <c r="D55" s="54" t="s">
        <v>227</v>
      </c>
      <c r="E55" s="15">
        <v>786</v>
      </c>
      <c r="F55" s="15">
        <v>25883</v>
      </c>
      <c r="G55" s="15">
        <v>2996</v>
      </c>
      <c r="H55" s="40">
        <v>60</v>
      </c>
      <c r="I55" s="1">
        <v>6</v>
      </c>
      <c r="J55" s="1"/>
      <c r="K55" s="1">
        <v>0.28571428571428598</v>
      </c>
      <c r="L55" s="1">
        <v>0.4</v>
      </c>
      <c r="M55" s="1">
        <v>525</v>
      </c>
      <c r="N55" s="40" t="s">
        <v>218</v>
      </c>
      <c r="O55" s="15">
        <v>10551551</v>
      </c>
      <c r="P55" s="15">
        <v>1</v>
      </c>
      <c r="Q55" s="15">
        <v>2</v>
      </c>
      <c r="R55" s="15">
        <v>0</v>
      </c>
      <c r="U55" s="1"/>
    </row>
    <row r="56" spans="1:21" ht="16">
      <c r="A56" s="55" t="s">
        <v>228</v>
      </c>
      <c r="B56" s="34" t="s">
        <v>229</v>
      </c>
      <c r="C56" s="34" t="s">
        <v>230</v>
      </c>
      <c r="D56" s="46" t="s">
        <v>231</v>
      </c>
      <c r="E56" s="40">
        <v>0</v>
      </c>
      <c r="F56" s="41">
        <v>0</v>
      </c>
      <c r="G56" s="1">
        <v>0</v>
      </c>
      <c r="H56" s="40">
        <v>30</v>
      </c>
      <c r="I56" s="1">
        <v>5</v>
      </c>
      <c r="J56" s="1">
        <v>1</v>
      </c>
      <c r="K56" s="1">
        <v>1</v>
      </c>
      <c r="L56" s="1">
        <v>0.6</v>
      </c>
      <c r="M56" s="1">
        <v>0</v>
      </c>
      <c r="N56" s="40" t="s">
        <v>232</v>
      </c>
      <c r="O56" s="15">
        <v>560111</v>
      </c>
      <c r="P56" s="15">
        <v>1</v>
      </c>
      <c r="Q56" s="15">
        <v>2</v>
      </c>
      <c r="R56" s="15">
        <v>0</v>
      </c>
      <c r="U56" s="1"/>
    </row>
    <row r="57" spans="1:21" ht="16">
      <c r="A57" s="55" t="s">
        <v>233</v>
      </c>
      <c r="B57" s="40" t="s">
        <v>229</v>
      </c>
      <c r="C57" s="40" t="s">
        <v>234</v>
      </c>
      <c r="D57" s="46" t="s">
        <v>235</v>
      </c>
      <c r="E57" s="40">
        <v>2020</v>
      </c>
      <c r="F57" s="41">
        <v>129000</v>
      </c>
      <c r="G57" s="1">
        <v>0</v>
      </c>
      <c r="H57" s="40">
        <v>15</v>
      </c>
      <c r="I57" s="1">
        <v>6</v>
      </c>
      <c r="J57" s="1">
        <v>1</v>
      </c>
      <c r="K57" s="1">
        <v>0.57142857142857095</v>
      </c>
      <c r="L57" s="1">
        <v>0.3</v>
      </c>
      <c r="M57" s="1">
        <v>46</v>
      </c>
      <c r="N57" s="40">
        <v>0</v>
      </c>
      <c r="O57" s="15">
        <v>129931</v>
      </c>
      <c r="P57" s="15">
        <v>1</v>
      </c>
      <c r="Q57" s="15">
        <v>2</v>
      </c>
      <c r="R57" s="15">
        <v>0</v>
      </c>
      <c r="U57" s="1"/>
    </row>
    <row r="58" spans="1:21" ht="16">
      <c r="A58" s="55" t="s">
        <v>236</v>
      </c>
      <c r="B58" s="34" t="s">
        <v>229</v>
      </c>
      <c r="C58" s="34" t="s">
        <v>237</v>
      </c>
      <c r="D58" s="46" t="s">
        <v>238</v>
      </c>
      <c r="E58" s="40">
        <v>151000</v>
      </c>
      <c r="F58" s="41">
        <v>17700</v>
      </c>
      <c r="G58" s="1">
        <v>7292</v>
      </c>
      <c r="H58" s="40">
        <v>86</v>
      </c>
      <c r="I58" s="1">
        <v>6</v>
      </c>
      <c r="J58" s="1">
        <v>0</v>
      </c>
      <c r="K58" s="1">
        <v>0.14285714285714299</v>
      </c>
      <c r="L58" s="1">
        <v>0.7</v>
      </c>
      <c r="M58" s="1">
        <v>20</v>
      </c>
      <c r="N58" s="40" t="s">
        <v>239</v>
      </c>
      <c r="O58" s="15">
        <v>5750352</v>
      </c>
      <c r="P58" s="15">
        <v>1</v>
      </c>
      <c r="Q58" s="15">
        <v>2</v>
      </c>
      <c r="R58" s="15">
        <v>0</v>
      </c>
      <c r="U58" s="1"/>
    </row>
    <row r="59" spans="1:21" ht="16">
      <c r="A59" s="55" t="s">
        <v>240</v>
      </c>
      <c r="B59" s="40" t="s">
        <v>229</v>
      </c>
      <c r="C59" s="40" t="s">
        <v>241</v>
      </c>
      <c r="D59" s="46" t="s">
        <v>242</v>
      </c>
      <c r="E59" s="40">
        <v>7050</v>
      </c>
      <c r="F59" s="41">
        <v>3916</v>
      </c>
      <c r="G59" s="1">
        <v>1212</v>
      </c>
      <c r="H59" s="40">
        <v>18</v>
      </c>
      <c r="I59" s="1">
        <v>5</v>
      </c>
      <c r="J59" s="1">
        <v>0</v>
      </c>
      <c r="K59" s="1">
        <v>0.57142857142857095</v>
      </c>
      <c r="L59" s="1">
        <v>0.5</v>
      </c>
      <c r="M59" s="1">
        <v>71</v>
      </c>
      <c r="N59" s="40">
        <v>0</v>
      </c>
      <c r="O59" s="15">
        <v>668078</v>
      </c>
      <c r="P59" s="15">
        <v>1</v>
      </c>
      <c r="Q59" s="15">
        <v>2</v>
      </c>
      <c r="R59" s="15">
        <v>0</v>
      </c>
      <c r="U59" s="1"/>
    </row>
    <row r="60" spans="1:21" ht="16">
      <c r="A60" s="55" t="s">
        <v>243</v>
      </c>
      <c r="B60" s="40" t="s">
        <v>229</v>
      </c>
      <c r="C60" s="40" t="s">
        <v>244</v>
      </c>
      <c r="D60" s="46" t="s">
        <v>245</v>
      </c>
      <c r="E60" s="40">
        <v>1750</v>
      </c>
      <c r="F60" s="41">
        <v>1224</v>
      </c>
      <c r="G60" s="1">
        <v>0</v>
      </c>
      <c r="H60" s="40">
        <v>30</v>
      </c>
      <c r="I60" s="1">
        <v>6</v>
      </c>
      <c r="J60" s="1">
        <v>0</v>
      </c>
      <c r="K60" s="1">
        <v>0.85714285714285698</v>
      </c>
      <c r="L60" s="1">
        <v>1</v>
      </c>
      <c r="M60" s="1">
        <v>135</v>
      </c>
      <c r="N60" s="42" t="s">
        <v>222</v>
      </c>
      <c r="O60" s="15">
        <v>9356398</v>
      </c>
      <c r="P60" s="15">
        <v>1</v>
      </c>
      <c r="Q60" s="15">
        <v>1</v>
      </c>
      <c r="R60" s="15">
        <v>0</v>
      </c>
      <c r="U60" s="1"/>
    </row>
    <row r="61" spans="1:21" ht="16">
      <c r="A61" s="56" t="s">
        <v>246</v>
      </c>
      <c r="B61" s="1" t="s">
        <v>229</v>
      </c>
      <c r="C61" s="1" t="s">
        <v>247</v>
      </c>
      <c r="D61" s="46" t="s">
        <v>248</v>
      </c>
      <c r="E61" s="1">
        <v>1630</v>
      </c>
      <c r="F61" s="46">
        <v>3790</v>
      </c>
      <c r="G61" s="1">
        <v>772</v>
      </c>
      <c r="H61" s="1">
        <v>46</v>
      </c>
      <c r="I61" s="1">
        <v>6</v>
      </c>
      <c r="J61" s="1">
        <v>1</v>
      </c>
      <c r="K61" s="1">
        <v>0.14285714285714299</v>
      </c>
      <c r="L61" s="1">
        <v>0.2</v>
      </c>
      <c r="M61" s="1">
        <v>0</v>
      </c>
      <c r="N61" s="1">
        <v>0</v>
      </c>
      <c r="O61" s="15">
        <v>165338</v>
      </c>
      <c r="P61" s="15">
        <v>0</v>
      </c>
      <c r="Q61" s="15">
        <v>2</v>
      </c>
      <c r="R61" s="15">
        <v>0</v>
      </c>
      <c r="U61" s="1"/>
    </row>
    <row r="62" spans="1:21" ht="16">
      <c r="A62" s="27" t="s">
        <v>249</v>
      </c>
      <c r="B62" s="1" t="s">
        <v>250</v>
      </c>
      <c r="C62" s="1" t="s">
        <v>251</v>
      </c>
      <c r="D62" s="46" t="s">
        <v>252</v>
      </c>
      <c r="E62" s="1">
        <v>0</v>
      </c>
      <c r="F62" s="46">
        <v>0</v>
      </c>
      <c r="G62" s="1">
        <v>0</v>
      </c>
      <c r="H62" s="1">
        <v>114</v>
      </c>
      <c r="I62" s="1">
        <v>6</v>
      </c>
      <c r="J62" s="1">
        <v>1</v>
      </c>
      <c r="K62" s="1">
        <v>1</v>
      </c>
      <c r="L62" s="1">
        <v>0.5</v>
      </c>
      <c r="M62" s="1">
        <v>107</v>
      </c>
      <c r="N62" s="1" t="s">
        <v>253</v>
      </c>
      <c r="O62" s="15">
        <v>8204332</v>
      </c>
      <c r="P62" s="15">
        <v>1</v>
      </c>
      <c r="Q62" s="15">
        <v>2</v>
      </c>
      <c r="R62" s="15">
        <v>9</v>
      </c>
      <c r="U62" s="1"/>
    </row>
    <row r="63" spans="1:21" ht="16">
      <c r="A63" s="27" t="s">
        <v>254</v>
      </c>
      <c r="B63" s="1" t="s">
        <v>250</v>
      </c>
      <c r="C63" s="1" t="s">
        <v>255</v>
      </c>
      <c r="D63" s="46" t="s">
        <v>256</v>
      </c>
      <c r="E63" s="1">
        <v>2830</v>
      </c>
      <c r="F63" s="46">
        <v>1743</v>
      </c>
      <c r="G63" s="1">
        <v>156</v>
      </c>
      <c r="H63" s="1">
        <v>103</v>
      </c>
      <c r="I63" s="1">
        <v>6</v>
      </c>
      <c r="J63" s="1">
        <v>1</v>
      </c>
      <c r="K63" s="1">
        <v>1</v>
      </c>
      <c r="L63" s="1">
        <v>0.6</v>
      </c>
      <c r="M63" s="1">
        <v>118</v>
      </c>
      <c r="N63" s="60" t="s">
        <v>214</v>
      </c>
      <c r="O63" s="15">
        <v>19450398</v>
      </c>
      <c r="P63" s="15">
        <v>1</v>
      </c>
      <c r="Q63" s="15">
        <v>1</v>
      </c>
      <c r="R63" s="15">
        <v>9</v>
      </c>
      <c r="U63" s="1"/>
    </row>
    <row r="64" spans="1:21" ht="16">
      <c r="A64" s="27" t="s">
        <v>257</v>
      </c>
      <c r="B64" s="1" t="s">
        <v>250</v>
      </c>
      <c r="C64" s="1" t="s">
        <v>258</v>
      </c>
      <c r="D64" s="46" t="s">
        <v>259</v>
      </c>
      <c r="E64" s="1">
        <v>8380</v>
      </c>
      <c r="F64" s="46">
        <v>58400</v>
      </c>
      <c r="G64" s="1">
        <v>6958</v>
      </c>
      <c r="H64" s="1">
        <v>128</v>
      </c>
      <c r="I64" s="1">
        <v>6</v>
      </c>
      <c r="J64" s="1">
        <v>0</v>
      </c>
      <c r="K64" s="1">
        <v>0.14285714285714299</v>
      </c>
      <c r="L64" s="1">
        <v>0.8</v>
      </c>
      <c r="M64" s="1">
        <v>357</v>
      </c>
      <c r="N64" s="61" t="s">
        <v>260</v>
      </c>
      <c r="O64" s="15">
        <v>26127267</v>
      </c>
      <c r="P64" s="15">
        <v>1</v>
      </c>
      <c r="Q64" s="15">
        <v>2</v>
      </c>
      <c r="R64" s="15">
        <v>9</v>
      </c>
      <c r="U64" s="1"/>
    </row>
    <row r="65" spans="1:21" ht="16">
      <c r="A65" s="27" t="s">
        <v>261</v>
      </c>
      <c r="B65" s="1" t="s">
        <v>250</v>
      </c>
      <c r="C65" s="1" t="s">
        <v>262</v>
      </c>
      <c r="D65" s="46" t="s">
        <v>263</v>
      </c>
      <c r="E65" s="1">
        <v>212</v>
      </c>
      <c r="F65" s="46">
        <v>238</v>
      </c>
      <c r="G65" s="1">
        <v>0</v>
      </c>
      <c r="H65" s="1">
        <v>84</v>
      </c>
      <c r="I65" s="1">
        <v>6</v>
      </c>
      <c r="J65" s="1">
        <v>0</v>
      </c>
      <c r="K65" s="1">
        <v>0.14285714285714299</v>
      </c>
      <c r="L65" s="1">
        <v>0.8</v>
      </c>
      <c r="M65" s="1">
        <v>55</v>
      </c>
      <c r="N65" s="43" t="s">
        <v>264</v>
      </c>
      <c r="O65" s="15">
        <v>32694856</v>
      </c>
      <c r="P65" s="15">
        <v>1</v>
      </c>
      <c r="Q65" s="15">
        <v>2</v>
      </c>
      <c r="R65" s="15">
        <v>9</v>
      </c>
      <c r="U65" s="1"/>
    </row>
    <row r="66" spans="1:21" ht="16">
      <c r="A66" s="27" t="s">
        <v>265</v>
      </c>
      <c r="B66" s="1" t="s">
        <v>250</v>
      </c>
      <c r="C66" s="1" t="s">
        <v>154</v>
      </c>
      <c r="D66" s="46" t="s">
        <v>266</v>
      </c>
      <c r="E66" s="1">
        <v>13500000</v>
      </c>
      <c r="F66" s="46">
        <v>37300</v>
      </c>
      <c r="G66" s="1">
        <v>591</v>
      </c>
      <c r="H66" s="1">
        <v>60</v>
      </c>
      <c r="I66" s="1">
        <v>6</v>
      </c>
      <c r="J66" s="1">
        <v>0</v>
      </c>
      <c r="K66" s="1">
        <v>0.14285714285714299</v>
      </c>
      <c r="L66" s="1">
        <v>0.7</v>
      </c>
      <c r="M66" s="1">
        <v>775</v>
      </c>
      <c r="N66" s="1" t="s">
        <v>267</v>
      </c>
      <c r="O66" s="15">
        <v>88475085</v>
      </c>
      <c r="P66" s="15">
        <v>1</v>
      </c>
      <c r="Q66" s="15">
        <v>2</v>
      </c>
      <c r="R66" s="15">
        <v>9</v>
      </c>
      <c r="U66" s="1"/>
    </row>
    <row r="67" spans="1:21">
      <c r="A67" s="27" t="s">
        <v>268</v>
      </c>
      <c r="B67" s="1" t="s">
        <v>250</v>
      </c>
      <c r="C67" s="15" t="s">
        <v>269</v>
      </c>
      <c r="D67" s="62" t="s">
        <v>270</v>
      </c>
      <c r="E67" s="15">
        <v>15400</v>
      </c>
      <c r="F67" s="15">
        <v>3725</v>
      </c>
      <c r="G67" s="15">
        <v>12000</v>
      </c>
      <c r="H67" s="1">
        <v>60</v>
      </c>
      <c r="I67" s="1">
        <v>6</v>
      </c>
      <c r="J67" s="1">
        <v>1</v>
      </c>
      <c r="K67" s="1">
        <v>1</v>
      </c>
      <c r="L67" s="1">
        <v>0.6</v>
      </c>
      <c r="M67" s="1">
        <v>14</v>
      </c>
      <c r="N67" s="43" t="s">
        <v>271</v>
      </c>
      <c r="O67" s="1">
        <v>9196405</v>
      </c>
      <c r="P67" s="15">
        <v>1</v>
      </c>
      <c r="Q67" s="15">
        <v>2</v>
      </c>
      <c r="R67" s="15">
        <v>9</v>
      </c>
      <c r="U67" s="1"/>
    </row>
    <row r="68" spans="1:21">
      <c r="A68" s="27" t="s">
        <v>272</v>
      </c>
      <c r="B68" s="1" t="s">
        <v>250</v>
      </c>
      <c r="C68" s="1" t="s">
        <v>273</v>
      </c>
      <c r="D68" s="1" t="s">
        <v>274</v>
      </c>
      <c r="E68" s="1">
        <v>2720</v>
      </c>
      <c r="F68" s="1">
        <v>77700</v>
      </c>
      <c r="G68" s="1">
        <v>0</v>
      </c>
      <c r="H68" s="15">
        <v>20</v>
      </c>
      <c r="I68" s="15">
        <v>6</v>
      </c>
      <c r="J68" s="15">
        <v>0</v>
      </c>
      <c r="K68" s="15">
        <v>0.57142857142857095</v>
      </c>
      <c r="L68" s="15">
        <v>0.8</v>
      </c>
      <c r="M68" s="1">
        <v>0</v>
      </c>
      <c r="N68" s="1" t="s">
        <v>275</v>
      </c>
      <c r="O68" s="15">
        <v>6803904</v>
      </c>
      <c r="P68" s="15">
        <v>1</v>
      </c>
      <c r="Q68" s="15">
        <v>1</v>
      </c>
      <c r="R68" s="15">
        <v>9</v>
      </c>
    </row>
    <row r="69" spans="1:21">
      <c r="A69" s="27" t="s">
        <v>276</v>
      </c>
      <c r="B69" s="1" t="s">
        <v>250</v>
      </c>
      <c r="C69" s="62" t="s">
        <v>277</v>
      </c>
      <c r="D69" s="1" t="s">
        <v>278</v>
      </c>
      <c r="E69" s="15">
        <v>31700</v>
      </c>
      <c r="F69" s="15">
        <v>16200</v>
      </c>
      <c r="G69" s="15">
        <v>377</v>
      </c>
      <c r="H69" s="15">
        <v>115</v>
      </c>
      <c r="I69" s="15">
        <v>6</v>
      </c>
      <c r="J69" s="15">
        <v>1</v>
      </c>
      <c r="K69" s="15">
        <v>1</v>
      </c>
      <c r="L69" s="15">
        <v>0.7</v>
      </c>
      <c r="M69" s="1">
        <v>0</v>
      </c>
      <c r="N69" s="1" t="s">
        <v>279</v>
      </c>
      <c r="O69" s="15">
        <v>7303904</v>
      </c>
      <c r="P69" s="15">
        <v>1</v>
      </c>
      <c r="Q69" s="15">
        <v>2</v>
      </c>
      <c r="R69" s="15">
        <v>9</v>
      </c>
    </row>
    <row r="70" spans="1:21">
      <c r="A70" s="27" t="s">
        <v>280</v>
      </c>
      <c r="B70" s="1" t="s">
        <v>250</v>
      </c>
      <c r="C70" s="63" t="s">
        <v>281</v>
      </c>
      <c r="D70" s="1" t="s">
        <v>282</v>
      </c>
      <c r="E70" s="15">
        <v>103000</v>
      </c>
      <c r="F70" s="15">
        <v>7062</v>
      </c>
      <c r="G70" s="15">
        <v>839</v>
      </c>
      <c r="H70" s="15">
        <v>34</v>
      </c>
      <c r="I70" s="15">
        <v>6</v>
      </c>
      <c r="J70" s="15">
        <v>0</v>
      </c>
      <c r="K70" s="15">
        <v>0.71428571428571397</v>
      </c>
      <c r="L70" s="15">
        <v>0.8</v>
      </c>
      <c r="M70" s="1">
        <v>0</v>
      </c>
      <c r="N70" s="1" t="s">
        <v>218</v>
      </c>
      <c r="O70" s="15">
        <v>90079938</v>
      </c>
      <c r="P70" s="15">
        <v>1</v>
      </c>
      <c r="Q70" s="15">
        <v>2</v>
      </c>
      <c r="R70" s="15">
        <v>9</v>
      </c>
    </row>
    <row r="71" spans="1:21">
      <c r="A71" s="27" t="s">
        <v>283</v>
      </c>
      <c r="B71" s="1" t="s">
        <v>250</v>
      </c>
      <c r="C71" s="1" t="s">
        <v>284</v>
      </c>
      <c r="D71" s="62" t="s">
        <v>285</v>
      </c>
      <c r="E71" s="1">
        <v>0</v>
      </c>
      <c r="F71" s="15">
        <v>2034</v>
      </c>
      <c r="G71" s="15">
        <v>75</v>
      </c>
      <c r="H71" s="15">
        <v>48</v>
      </c>
      <c r="I71" s="15">
        <v>6</v>
      </c>
      <c r="J71" s="15">
        <v>0</v>
      </c>
      <c r="K71" s="15">
        <v>0.14285714285714299</v>
      </c>
      <c r="L71" s="15">
        <v>0.9</v>
      </c>
      <c r="M71" s="15">
        <v>34</v>
      </c>
      <c r="N71" s="1" t="s">
        <v>286</v>
      </c>
      <c r="O71" s="15">
        <v>46849683</v>
      </c>
      <c r="P71" s="15">
        <v>1</v>
      </c>
      <c r="Q71" s="15">
        <v>2</v>
      </c>
      <c r="R71" s="15">
        <v>9</v>
      </c>
    </row>
    <row r="72" spans="1:21">
      <c r="A72" s="27" t="s">
        <v>287</v>
      </c>
      <c r="B72" s="1" t="s">
        <v>250</v>
      </c>
      <c r="C72" s="62" t="s">
        <v>288</v>
      </c>
      <c r="D72" s="1" t="s">
        <v>289</v>
      </c>
      <c r="E72" s="15">
        <v>3980</v>
      </c>
      <c r="F72" s="15">
        <v>0</v>
      </c>
      <c r="G72" s="15">
        <v>0</v>
      </c>
      <c r="H72" s="15">
        <v>33</v>
      </c>
      <c r="I72" s="15">
        <v>5</v>
      </c>
      <c r="J72" s="15">
        <v>0</v>
      </c>
      <c r="K72" s="15">
        <v>1</v>
      </c>
      <c r="L72" s="15">
        <v>0.6</v>
      </c>
      <c r="M72" s="1">
        <v>0</v>
      </c>
      <c r="N72" s="1">
        <v>0</v>
      </c>
      <c r="O72" s="15">
        <v>4668671</v>
      </c>
      <c r="P72" s="15">
        <v>0</v>
      </c>
      <c r="Q72" s="15">
        <v>2</v>
      </c>
      <c r="R72" s="15">
        <v>9</v>
      </c>
    </row>
    <row r="73" spans="1:21" ht="16">
      <c r="A73" s="27" t="s">
        <v>290</v>
      </c>
      <c r="B73" s="1" t="s">
        <v>250</v>
      </c>
      <c r="C73" s="1" t="s">
        <v>133</v>
      </c>
      <c r="D73" s="1" t="s">
        <v>291</v>
      </c>
      <c r="E73" s="15">
        <v>8940</v>
      </c>
      <c r="F73" s="15">
        <v>152000</v>
      </c>
      <c r="G73" s="15">
        <v>7966</v>
      </c>
      <c r="H73" s="40">
        <v>100</v>
      </c>
      <c r="I73" s="1">
        <v>6</v>
      </c>
      <c r="J73" s="15">
        <v>0</v>
      </c>
      <c r="K73" s="15">
        <v>0.42857142857142899</v>
      </c>
      <c r="L73" s="15">
        <v>0.4</v>
      </c>
      <c r="M73" s="15">
        <v>381</v>
      </c>
      <c r="N73" s="40" t="s">
        <v>135</v>
      </c>
      <c r="O73" s="15">
        <v>87678583</v>
      </c>
      <c r="P73" s="15">
        <v>1</v>
      </c>
      <c r="Q73" s="15">
        <v>1</v>
      </c>
      <c r="R73" s="15">
        <v>9</v>
      </c>
    </row>
    <row r="74" spans="1:21">
      <c r="A74" s="27" t="s">
        <v>292</v>
      </c>
      <c r="B74" s="1" t="s">
        <v>250</v>
      </c>
      <c r="C74" s="1" t="s">
        <v>293</v>
      </c>
      <c r="D74" s="1" t="s">
        <v>294</v>
      </c>
      <c r="E74" s="1">
        <v>0</v>
      </c>
      <c r="F74" s="15">
        <v>0</v>
      </c>
      <c r="G74" s="15">
        <v>0</v>
      </c>
      <c r="H74" s="15">
        <v>17</v>
      </c>
      <c r="I74" s="15">
        <v>6</v>
      </c>
      <c r="J74" s="15">
        <v>0</v>
      </c>
      <c r="K74" s="15">
        <v>1</v>
      </c>
      <c r="L74" s="15">
        <v>0.5</v>
      </c>
      <c r="M74" s="1">
        <v>0</v>
      </c>
      <c r="N74" s="1">
        <v>0</v>
      </c>
      <c r="O74" s="15">
        <v>1379340</v>
      </c>
      <c r="P74" s="15">
        <v>0</v>
      </c>
      <c r="Q74" s="15">
        <v>0</v>
      </c>
      <c r="R74" s="15">
        <v>9</v>
      </c>
    </row>
    <row r="75" spans="1:21">
      <c r="A75" s="27" t="s">
        <v>295</v>
      </c>
      <c r="B75" s="1" t="s">
        <v>250</v>
      </c>
      <c r="C75" s="1" t="s">
        <v>296</v>
      </c>
      <c r="D75" s="1" t="s">
        <v>297</v>
      </c>
      <c r="E75" s="15">
        <v>236000</v>
      </c>
      <c r="F75" s="15">
        <v>115000</v>
      </c>
      <c r="G75" s="15">
        <v>6568</v>
      </c>
      <c r="H75" s="15">
        <v>94</v>
      </c>
      <c r="I75" s="15">
        <v>6</v>
      </c>
      <c r="J75" s="15">
        <v>1</v>
      </c>
      <c r="K75" s="15">
        <v>0.71428571428571397</v>
      </c>
      <c r="L75" s="15">
        <v>0.8</v>
      </c>
      <c r="M75" s="15">
        <v>258</v>
      </c>
      <c r="N75" s="43" t="s">
        <v>298</v>
      </c>
      <c r="O75" s="15">
        <v>36964662</v>
      </c>
      <c r="P75" s="15">
        <v>1</v>
      </c>
      <c r="Q75" s="15">
        <v>1</v>
      </c>
      <c r="R75" s="15">
        <v>9</v>
      </c>
    </row>
    <row r="77" spans="1:21">
      <c r="A77" s="1"/>
    </row>
    <row r="89" spans="1:1">
      <c r="A89" s="1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9" defaultRowHeight="15"/>
  <cols>
    <col min="1" max="1" width="17.83203125" customWidth="1"/>
    <col min="2" max="2" width="34" customWidth="1"/>
    <col min="3" max="3" width="32.83203125" customWidth="1"/>
    <col min="4" max="4" width="29.83203125" customWidth="1"/>
    <col min="5" max="5" width="12.1640625" customWidth="1"/>
    <col min="6" max="6" width="16.83203125" customWidth="1"/>
    <col min="7" max="7" width="28.5" customWidth="1"/>
    <col min="8" max="8" width="17.1640625" customWidth="1"/>
  </cols>
  <sheetData>
    <row r="1" spans="1:9">
      <c r="A1" s="1"/>
      <c r="B1" s="28" t="s">
        <v>299</v>
      </c>
      <c r="C1" s="28" t="s">
        <v>300</v>
      </c>
      <c r="D1" s="28" t="s">
        <v>301</v>
      </c>
      <c r="E1" s="28" t="s">
        <v>302</v>
      </c>
      <c r="F1" s="28" t="s">
        <v>303</v>
      </c>
      <c r="G1" s="28" t="s">
        <v>304</v>
      </c>
      <c r="H1" s="28" t="s">
        <v>305</v>
      </c>
      <c r="I1" s="28" t="s">
        <v>306</v>
      </c>
    </row>
    <row r="2" spans="1:9" ht="16">
      <c r="A2" s="4" t="s">
        <v>17</v>
      </c>
      <c r="B2" s="1">
        <v>1</v>
      </c>
      <c r="C2" s="1">
        <v>0</v>
      </c>
      <c r="D2" s="1">
        <v>1</v>
      </c>
      <c r="E2" s="1">
        <v>2</v>
      </c>
      <c r="F2" s="1">
        <v>0</v>
      </c>
      <c r="G2" s="1">
        <v>2</v>
      </c>
      <c r="H2" s="1">
        <v>2</v>
      </c>
      <c r="I2" s="1">
        <f>SUM(B2:H2)/10</f>
        <v>0.8</v>
      </c>
    </row>
    <row r="3" spans="1:9" ht="16">
      <c r="A3" s="5" t="s">
        <v>22</v>
      </c>
      <c r="B3" s="1">
        <v>1</v>
      </c>
      <c r="C3" s="1">
        <v>1</v>
      </c>
      <c r="D3" s="1">
        <v>0</v>
      </c>
      <c r="E3" s="1">
        <v>2</v>
      </c>
      <c r="F3" s="1">
        <v>0</v>
      </c>
      <c r="G3" s="1">
        <v>1</v>
      </c>
      <c r="H3" s="1">
        <v>1</v>
      </c>
      <c r="I3" s="1">
        <f>SUM(B3:H3)/10</f>
        <v>0.6</v>
      </c>
    </row>
    <row r="4" spans="1:9" ht="16">
      <c r="A4" s="5" t="s">
        <v>27</v>
      </c>
      <c r="B4" s="1">
        <v>0</v>
      </c>
      <c r="C4" s="1">
        <v>2</v>
      </c>
      <c r="D4" s="1">
        <v>0</v>
      </c>
      <c r="E4" s="1">
        <v>2</v>
      </c>
      <c r="F4" s="1">
        <v>0</v>
      </c>
      <c r="G4" s="1">
        <v>2</v>
      </c>
      <c r="H4" s="1">
        <v>2</v>
      </c>
      <c r="I4" s="1">
        <f t="shared" ref="I4:I35" si="0">SUM(B4:H4)/10</f>
        <v>0.8</v>
      </c>
    </row>
    <row r="5" spans="1:9" ht="16">
      <c r="A5" s="7" t="s">
        <v>31</v>
      </c>
      <c r="B5" s="1">
        <v>1</v>
      </c>
      <c r="C5" s="1">
        <v>1</v>
      </c>
      <c r="D5" s="1">
        <v>0</v>
      </c>
      <c r="E5" s="1">
        <v>2</v>
      </c>
      <c r="F5" s="1">
        <v>0</v>
      </c>
      <c r="G5" s="1">
        <v>2</v>
      </c>
      <c r="H5" s="1">
        <v>2</v>
      </c>
      <c r="I5" s="1">
        <f t="shared" si="0"/>
        <v>0.8</v>
      </c>
    </row>
    <row r="6" spans="1:9">
      <c r="A6" s="8" t="s">
        <v>35</v>
      </c>
      <c r="B6" s="1">
        <v>1</v>
      </c>
      <c r="C6" s="1">
        <v>1</v>
      </c>
      <c r="D6" s="1">
        <v>0</v>
      </c>
      <c r="E6" s="1">
        <v>2</v>
      </c>
      <c r="F6" s="1">
        <v>0</v>
      </c>
      <c r="G6" s="1">
        <v>1</v>
      </c>
      <c r="H6" s="1">
        <v>2</v>
      </c>
      <c r="I6" s="1">
        <f t="shared" si="0"/>
        <v>0.7</v>
      </c>
    </row>
    <row r="7" spans="1:9" ht="16">
      <c r="A7" s="9" t="s">
        <v>39</v>
      </c>
      <c r="B7" s="1">
        <v>2</v>
      </c>
      <c r="C7" s="1">
        <v>1</v>
      </c>
      <c r="D7" s="1">
        <v>0</v>
      </c>
      <c r="E7" s="1">
        <v>2</v>
      </c>
      <c r="F7" s="1">
        <v>0</v>
      </c>
      <c r="G7" s="1">
        <v>0</v>
      </c>
      <c r="H7" s="1">
        <v>1</v>
      </c>
      <c r="I7" s="1">
        <f t="shared" si="0"/>
        <v>0.6</v>
      </c>
    </row>
    <row r="8" spans="1:9" ht="16">
      <c r="A8" s="9" t="s">
        <v>43</v>
      </c>
      <c r="B8" s="1">
        <v>1</v>
      </c>
      <c r="C8" s="1">
        <v>1</v>
      </c>
      <c r="D8" s="1">
        <v>0</v>
      </c>
      <c r="E8" s="1">
        <v>2</v>
      </c>
      <c r="F8" s="1">
        <v>0</v>
      </c>
      <c r="G8" s="1">
        <v>2</v>
      </c>
      <c r="H8" s="1">
        <v>1</v>
      </c>
      <c r="I8" s="1">
        <f t="shared" si="0"/>
        <v>0.7</v>
      </c>
    </row>
    <row r="9" spans="1:9" ht="16">
      <c r="A9" s="9" t="s">
        <v>47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1</v>
      </c>
      <c r="H9" s="1">
        <v>1</v>
      </c>
      <c r="I9" s="1">
        <f t="shared" si="0"/>
        <v>0.4</v>
      </c>
    </row>
    <row r="10" spans="1:9" ht="16">
      <c r="A10" s="10" t="s">
        <v>51</v>
      </c>
      <c r="B10" s="1">
        <v>2</v>
      </c>
      <c r="C10" s="1">
        <v>1</v>
      </c>
      <c r="D10" s="1">
        <v>0</v>
      </c>
      <c r="E10" s="1">
        <v>2</v>
      </c>
      <c r="F10" s="1">
        <v>0</v>
      </c>
      <c r="G10" s="1">
        <v>1</v>
      </c>
      <c r="H10" s="1">
        <v>2</v>
      </c>
      <c r="I10" s="1">
        <f t="shared" si="0"/>
        <v>0.8</v>
      </c>
    </row>
    <row r="11" spans="1:9" ht="16">
      <c r="A11" s="5" t="s">
        <v>55</v>
      </c>
      <c r="B11" s="1">
        <v>0</v>
      </c>
      <c r="C11" s="1">
        <v>1</v>
      </c>
      <c r="D11" s="1">
        <v>0</v>
      </c>
      <c r="E11" s="1">
        <v>2</v>
      </c>
      <c r="F11" s="1">
        <v>0</v>
      </c>
      <c r="G11" s="1">
        <v>0</v>
      </c>
      <c r="H11" s="1">
        <v>2</v>
      </c>
      <c r="I11" s="1">
        <f t="shared" si="0"/>
        <v>0.5</v>
      </c>
    </row>
    <row r="12" spans="1:9" ht="16">
      <c r="A12" s="5" t="s">
        <v>59</v>
      </c>
      <c r="B12" s="1">
        <v>0</v>
      </c>
      <c r="C12" s="1">
        <v>1</v>
      </c>
      <c r="D12" s="1">
        <v>0</v>
      </c>
      <c r="E12" s="1">
        <v>2</v>
      </c>
      <c r="F12" s="1">
        <v>0</v>
      </c>
      <c r="G12" s="1">
        <v>2</v>
      </c>
      <c r="H12" s="1">
        <v>2</v>
      </c>
      <c r="I12" s="1">
        <f t="shared" si="0"/>
        <v>0.7</v>
      </c>
    </row>
    <row r="13" spans="1:9">
      <c r="A13" s="8" t="s">
        <v>63</v>
      </c>
      <c r="B13" s="1">
        <v>0</v>
      </c>
      <c r="C13" s="1">
        <v>1</v>
      </c>
      <c r="D13" s="1">
        <v>0</v>
      </c>
      <c r="E13" s="1">
        <v>2</v>
      </c>
      <c r="F13" s="1">
        <v>0</v>
      </c>
      <c r="G13" s="1">
        <v>1</v>
      </c>
      <c r="H13" s="1">
        <v>1</v>
      </c>
      <c r="I13" s="1">
        <f t="shared" si="0"/>
        <v>0.5</v>
      </c>
    </row>
    <row r="14" spans="1:9" ht="16">
      <c r="A14" s="11" t="s">
        <v>67</v>
      </c>
      <c r="B14" s="1">
        <v>2</v>
      </c>
      <c r="C14" s="1">
        <v>2</v>
      </c>
      <c r="D14" s="1">
        <v>0</v>
      </c>
      <c r="E14" s="1">
        <v>2</v>
      </c>
      <c r="F14" s="1">
        <v>0</v>
      </c>
      <c r="G14" s="1">
        <v>2</v>
      </c>
      <c r="H14" s="1">
        <v>2</v>
      </c>
      <c r="I14" s="1">
        <f t="shared" si="0"/>
        <v>1</v>
      </c>
    </row>
    <row r="15" spans="1:9" ht="16">
      <c r="A15" s="11" t="s">
        <v>71</v>
      </c>
      <c r="B15" s="1">
        <v>0</v>
      </c>
      <c r="C15" s="1">
        <v>1</v>
      </c>
      <c r="D15" s="1">
        <v>0</v>
      </c>
      <c r="E15" s="1">
        <v>2</v>
      </c>
      <c r="F15" s="1">
        <v>0</v>
      </c>
      <c r="G15" s="1">
        <v>1</v>
      </c>
      <c r="H15" s="1">
        <v>2</v>
      </c>
      <c r="I15" s="1">
        <f t="shared" si="0"/>
        <v>0.6</v>
      </c>
    </row>
    <row r="16" spans="1:9" ht="16">
      <c r="A16" s="10" t="s">
        <v>75</v>
      </c>
      <c r="B16" s="1">
        <v>2</v>
      </c>
      <c r="C16" s="1">
        <v>1</v>
      </c>
      <c r="D16" s="1">
        <v>0</v>
      </c>
      <c r="E16" s="1">
        <v>2</v>
      </c>
      <c r="F16" s="1">
        <v>0</v>
      </c>
      <c r="G16" s="1">
        <v>1</v>
      </c>
      <c r="H16" s="1">
        <v>2</v>
      </c>
      <c r="I16" s="1">
        <f t="shared" si="0"/>
        <v>0.8</v>
      </c>
    </row>
    <row r="17" spans="1:11">
      <c r="A17" s="8" t="s">
        <v>79</v>
      </c>
      <c r="B17" s="1">
        <v>0</v>
      </c>
      <c r="C17" s="1">
        <v>1</v>
      </c>
      <c r="D17" s="1">
        <v>0</v>
      </c>
      <c r="E17" s="1">
        <v>2</v>
      </c>
      <c r="F17" s="1">
        <v>0</v>
      </c>
      <c r="G17" s="1">
        <v>1</v>
      </c>
      <c r="H17" s="1">
        <v>2</v>
      </c>
      <c r="I17" s="1">
        <f t="shared" si="0"/>
        <v>0.6</v>
      </c>
    </row>
    <row r="18" spans="1:11" ht="16">
      <c r="A18" s="5" t="s">
        <v>83</v>
      </c>
      <c r="B18" s="1">
        <v>0</v>
      </c>
      <c r="C18" s="1">
        <v>0</v>
      </c>
      <c r="D18" s="1">
        <v>1</v>
      </c>
      <c r="E18" s="1">
        <v>1</v>
      </c>
      <c r="F18" s="1">
        <v>1</v>
      </c>
      <c r="G18" s="1">
        <v>2</v>
      </c>
      <c r="H18" s="1">
        <v>2</v>
      </c>
      <c r="I18" s="1">
        <f t="shared" si="0"/>
        <v>0.7</v>
      </c>
    </row>
    <row r="19" spans="1:11" ht="16">
      <c r="A19" s="11" t="s">
        <v>87</v>
      </c>
      <c r="B19" s="1">
        <v>2</v>
      </c>
      <c r="C19" s="1">
        <v>0</v>
      </c>
      <c r="D19" s="1">
        <v>1</v>
      </c>
      <c r="E19" s="28">
        <v>2</v>
      </c>
      <c r="F19" s="28">
        <v>0</v>
      </c>
      <c r="G19" s="1">
        <v>1</v>
      </c>
      <c r="H19" s="1">
        <v>1</v>
      </c>
      <c r="I19" s="1">
        <f t="shared" si="0"/>
        <v>0.7</v>
      </c>
    </row>
    <row r="20" spans="1:11" ht="16">
      <c r="A20" s="10" t="s">
        <v>91</v>
      </c>
      <c r="B20" s="1">
        <v>2</v>
      </c>
      <c r="C20" s="1">
        <v>0</v>
      </c>
      <c r="D20" s="1">
        <v>1</v>
      </c>
      <c r="E20" s="1">
        <v>2</v>
      </c>
      <c r="F20" s="1">
        <v>0</v>
      </c>
      <c r="G20" s="1">
        <v>1</v>
      </c>
      <c r="H20" s="1">
        <v>1</v>
      </c>
      <c r="I20" s="1">
        <f t="shared" si="0"/>
        <v>0.7</v>
      </c>
    </row>
    <row r="21" spans="1:11" ht="16">
      <c r="A21" s="5" t="s">
        <v>95</v>
      </c>
      <c r="B21" s="1">
        <v>1</v>
      </c>
      <c r="C21" s="1">
        <v>1</v>
      </c>
      <c r="D21" s="1">
        <v>0</v>
      </c>
      <c r="E21" s="1">
        <v>2</v>
      </c>
      <c r="F21" s="1">
        <v>0</v>
      </c>
      <c r="G21" s="1">
        <v>1</v>
      </c>
      <c r="H21" s="1">
        <v>1</v>
      </c>
      <c r="I21" s="1">
        <f t="shared" si="0"/>
        <v>0.6</v>
      </c>
    </row>
    <row r="22" spans="1:11" ht="16">
      <c r="A22" s="5" t="s">
        <v>99</v>
      </c>
      <c r="B22" s="1">
        <v>1</v>
      </c>
      <c r="C22" s="1">
        <v>1</v>
      </c>
      <c r="D22" s="1">
        <v>0</v>
      </c>
      <c r="E22" s="1">
        <v>2</v>
      </c>
      <c r="F22" s="1">
        <v>0</v>
      </c>
      <c r="G22" s="1">
        <v>1</v>
      </c>
      <c r="H22" s="1">
        <v>2</v>
      </c>
      <c r="I22" s="1">
        <f t="shared" si="0"/>
        <v>0.7</v>
      </c>
    </row>
    <row r="23" spans="1:11">
      <c r="A23" s="8" t="s">
        <v>103</v>
      </c>
      <c r="B23" s="1">
        <v>2</v>
      </c>
      <c r="C23" s="1">
        <v>2</v>
      </c>
      <c r="D23" s="1">
        <v>0</v>
      </c>
      <c r="E23" s="1">
        <v>2</v>
      </c>
      <c r="F23" s="1">
        <v>0</v>
      </c>
      <c r="G23" s="1">
        <v>1</v>
      </c>
      <c r="H23" s="1">
        <v>2</v>
      </c>
      <c r="I23" s="1">
        <f t="shared" si="0"/>
        <v>0.9</v>
      </c>
    </row>
    <row r="24" spans="1:11" ht="16">
      <c r="A24" s="5" t="s">
        <v>107</v>
      </c>
      <c r="B24" s="1">
        <v>1</v>
      </c>
      <c r="C24" s="1">
        <v>1</v>
      </c>
      <c r="D24" s="1">
        <v>0</v>
      </c>
      <c r="E24" s="1">
        <v>2</v>
      </c>
      <c r="F24" s="1">
        <v>0</v>
      </c>
      <c r="G24" s="1">
        <v>1</v>
      </c>
      <c r="H24" s="1">
        <v>2</v>
      </c>
      <c r="I24" s="1">
        <f t="shared" si="0"/>
        <v>0.7</v>
      </c>
    </row>
    <row r="25" spans="1:11">
      <c r="A25" s="8" t="s">
        <v>110</v>
      </c>
      <c r="B25" s="1">
        <v>1</v>
      </c>
      <c r="C25" s="1">
        <v>1</v>
      </c>
      <c r="D25" s="1">
        <v>0</v>
      </c>
      <c r="E25" s="1">
        <v>2</v>
      </c>
      <c r="F25" s="1">
        <v>0</v>
      </c>
      <c r="G25" s="1">
        <v>2</v>
      </c>
      <c r="H25" s="1">
        <v>2</v>
      </c>
      <c r="I25" s="1">
        <f t="shared" si="0"/>
        <v>0.8</v>
      </c>
    </row>
    <row r="26" spans="1:11" ht="16">
      <c r="A26" s="11" t="s">
        <v>114</v>
      </c>
      <c r="B26" s="1">
        <v>1</v>
      </c>
      <c r="C26" s="1">
        <v>1</v>
      </c>
      <c r="D26" s="1">
        <v>0</v>
      </c>
      <c r="E26" s="1">
        <v>2</v>
      </c>
      <c r="F26" s="1">
        <v>0</v>
      </c>
      <c r="G26" s="1">
        <v>1</v>
      </c>
      <c r="H26" s="1">
        <v>2</v>
      </c>
      <c r="I26" s="1">
        <f t="shared" si="0"/>
        <v>0.7</v>
      </c>
    </row>
    <row r="27" spans="1:11" ht="16">
      <c r="A27" s="10" t="s">
        <v>118</v>
      </c>
      <c r="B27" s="1">
        <v>2</v>
      </c>
      <c r="C27" s="1">
        <v>1</v>
      </c>
      <c r="D27" s="1">
        <v>0</v>
      </c>
      <c r="E27" s="1">
        <v>2</v>
      </c>
      <c r="F27" s="1">
        <v>0</v>
      </c>
      <c r="G27" s="1">
        <v>2</v>
      </c>
      <c r="H27" s="1">
        <v>2</v>
      </c>
      <c r="I27" s="1">
        <f t="shared" si="0"/>
        <v>0.9</v>
      </c>
    </row>
    <row r="28" spans="1:11" ht="16">
      <c r="A28" s="11" t="s">
        <v>122</v>
      </c>
      <c r="B28" s="1">
        <v>2</v>
      </c>
      <c r="C28" s="1">
        <v>2</v>
      </c>
      <c r="D28" s="1">
        <v>0</v>
      </c>
      <c r="E28" s="1">
        <v>2</v>
      </c>
      <c r="F28" s="1">
        <v>0</v>
      </c>
      <c r="G28" s="1">
        <v>0</v>
      </c>
      <c r="H28" s="1">
        <v>2</v>
      </c>
      <c r="I28" s="1">
        <f t="shared" si="0"/>
        <v>0.8</v>
      </c>
      <c r="K28" s="29"/>
    </row>
    <row r="29" spans="1:11" ht="16">
      <c r="A29" s="13" t="s">
        <v>131</v>
      </c>
      <c r="B29" s="1">
        <v>1</v>
      </c>
      <c r="C29" s="1">
        <v>1</v>
      </c>
      <c r="D29" s="1">
        <v>0</v>
      </c>
      <c r="E29" s="1">
        <v>2</v>
      </c>
      <c r="F29" s="1">
        <v>0</v>
      </c>
      <c r="G29" s="1">
        <v>1</v>
      </c>
      <c r="H29" s="1">
        <v>2</v>
      </c>
      <c r="I29" s="1">
        <f t="shared" si="0"/>
        <v>0.7</v>
      </c>
      <c r="K29" s="30"/>
    </row>
    <row r="30" spans="1:11" ht="16">
      <c r="A30" s="13" t="s">
        <v>136</v>
      </c>
      <c r="B30" s="1">
        <v>1</v>
      </c>
      <c r="C30" s="1">
        <v>1</v>
      </c>
      <c r="D30" s="1">
        <v>0</v>
      </c>
      <c r="E30" s="1">
        <v>2</v>
      </c>
      <c r="F30" s="1">
        <v>0</v>
      </c>
      <c r="G30" s="1">
        <v>1</v>
      </c>
      <c r="H30" s="1">
        <v>2</v>
      </c>
      <c r="I30" s="1">
        <f t="shared" si="0"/>
        <v>0.7</v>
      </c>
      <c r="K30" s="30"/>
    </row>
    <row r="31" spans="1:11" ht="16">
      <c r="A31" s="13" t="s">
        <v>140</v>
      </c>
      <c r="B31" s="1">
        <v>2</v>
      </c>
      <c r="C31" s="1">
        <v>1</v>
      </c>
      <c r="D31" s="1">
        <v>0</v>
      </c>
      <c r="E31" s="1">
        <v>2</v>
      </c>
      <c r="F31" s="1">
        <v>0</v>
      </c>
      <c r="G31" s="1">
        <v>0</v>
      </c>
      <c r="H31" s="1">
        <v>2</v>
      </c>
      <c r="I31" s="1">
        <f t="shared" si="0"/>
        <v>0.7</v>
      </c>
      <c r="K31" s="30"/>
    </row>
    <row r="32" spans="1:11" ht="16">
      <c r="A32" s="18" t="s">
        <v>144</v>
      </c>
      <c r="B32" s="1">
        <v>0</v>
      </c>
      <c r="C32" s="1">
        <v>1</v>
      </c>
      <c r="D32" s="1">
        <v>0</v>
      </c>
      <c r="E32" s="1">
        <v>2</v>
      </c>
      <c r="F32" s="1">
        <v>0</v>
      </c>
      <c r="G32" s="1">
        <v>1</v>
      </c>
      <c r="H32" s="1">
        <v>2</v>
      </c>
      <c r="I32" s="1">
        <f t="shared" si="0"/>
        <v>0.6</v>
      </c>
      <c r="K32" s="31"/>
    </row>
    <row r="33" spans="1:11" ht="16">
      <c r="A33" s="18" t="s">
        <v>149</v>
      </c>
      <c r="B33" s="1">
        <v>0</v>
      </c>
      <c r="C33" s="1">
        <v>1</v>
      </c>
      <c r="D33" s="1">
        <v>0</v>
      </c>
      <c r="E33" s="1">
        <v>2</v>
      </c>
      <c r="F33" s="1">
        <v>0</v>
      </c>
      <c r="G33" s="1">
        <v>1</v>
      </c>
      <c r="H33" s="1">
        <v>2</v>
      </c>
      <c r="I33" s="1">
        <f t="shared" si="0"/>
        <v>0.6</v>
      </c>
      <c r="K33" s="29"/>
    </row>
    <row r="34" spans="1:11" ht="16">
      <c r="A34" s="18" t="s">
        <v>153</v>
      </c>
      <c r="B34" s="1">
        <v>0</v>
      </c>
      <c r="C34" s="1">
        <v>2</v>
      </c>
      <c r="D34" s="1">
        <v>0</v>
      </c>
      <c r="E34" s="1">
        <v>2</v>
      </c>
      <c r="F34" s="1">
        <v>0</v>
      </c>
      <c r="G34" s="1">
        <v>0</v>
      </c>
      <c r="H34" s="1">
        <v>2</v>
      </c>
      <c r="I34" s="1">
        <f t="shared" si="0"/>
        <v>0.6</v>
      </c>
      <c r="K34" s="27"/>
    </row>
    <row r="35" spans="1:11" ht="16">
      <c r="A35" s="18" t="s">
        <v>157</v>
      </c>
      <c r="B35" s="1">
        <v>1</v>
      </c>
      <c r="C35" s="1">
        <v>1</v>
      </c>
      <c r="D35" s="1">
        <v>0</v>
      </c>
      <c r="E35" s="1">
        <v>2</v>
      </c>
      <c r="F35" s="1">
        <v>0</v>
      </c>
      <c r="G35" s="1">
        <v>1</v>
      </c>
      <c r="H35" s="1">
        <v>2</v>
      </c>
      <c r="I35" s="1">
        <f t="shared" si="0"/>
        <v>0.7</v>
      </c>
      <c r="K35" s="27"/>
    </row>
    <row r="36" spans="1:11" ht="16">
      <c r="A36" s="19" t="s">
        <v>160</v>
      </c>
      <c r="B36" s="1">
        <v>2</v>
      </c>
      <c r="C36" s="1">
        <v>2</v>
      </c>
      <c r="D36" s="1">
        <v>0</v>
      </c>
      <c r="E36" s="1">
        <v>2</v>
      </c>
      <c r="F36" s="1">
        <v>0</v>
      </c>
      <c r="G36" s="1">
        <v>1</v>
      </c>
      <c r="H36" s="1">
        <v>1</v>
      </c>
      <c r="I36" s="1">
        <f t="shared" ref="I36:I75" si="1">SUM(B36:H36)/10</f>
        <v>0.8</v>
      </c>
      <c r="K36" s="27"/>
    </row>
    <row r="37" spans="1:11" ht="16">
      <c r="A37" s="19" t="s">
        <v>165</v>
      </c>
      <c r="B37" s="1">
        <v>2</v>
      </c>
      <c r="C37" s="1">
        <v>1</v>
      </c>
      <c r="D37" s="1">
        <v>0</v>
      </c>
      <c r="E37" s="1">
        <v>2</v>
      </c>
      <c r="F37" s="1">
        <v>0</v>
      </c>
      <c r="G37" s="1">
        <v>0</v>
      </c>
      <c r="H37" s="1">
        <v>1</v>
      </c>
      <c r="I37" s="1">
        <f t="shared" si="1"/>
        <v>0.6</v>
      </c>
      <c r="K37" s="27"/>
    </row>
    <row r="38" spans="1:11" ht="16">
      <c r="A38" s="20" t="s">
        <v>168</v>
      </c>
      <c r="B38" s="1">
        <v>2</v>
      </c>
      <c r="C38" s="1">
        <v>2</v>
      </c>
      <c r="D38" s="1">
        <v>0</v>
      </c>
      <c r="E38" s="1">
        <v>2</v>
      </c>
      <c r="F38" s="1">
        <v>0</v>
      </c>
      <c r="G38" s="1">
        <v>0</v>
      </c>
      <c r="H38" s="1">
        <v>1</v>
      </c>
      <c r="I38" s="1">
        <f t="shared" si="1"/>
        <v>0.7</v>
      </c>
      <c r="K38" s="27"/>
    </row>
    <row r="39" spans="1:11">
      <c r="A39" s="21" t="s">
        <v>173</v>
      </c>
      <c r="B39" s="1">
        <v>2</v>
      </c>
      <c r="C39" s="1">
        <v>1</v>
      </c>
      <c r="D39" s="1">
        <v>0</v>
      </c>
      <c r="E39" s="1">
        <v>2</v>
      </c>
      <c r="F39" s="1">
        <v>0</v>
      </c>
      <c r="G39" s="1">
        <v>1</v>
      </c>
      <c r="H39" s="1">
        <v>0</v>
      </c>
      <c r="I39" s="1">
        <f t="shared" si="1"/>
        <v>0.6</v>
      </c>
      <c r="K39" s="27"/>
    </row>
    <row r="40" spans="1:11">
      <c r="A40" s="21" t="s">
        <v>178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f t="shared" si="1"/>
        <v>0</v>
      </c>
      <c r="K40" s="27"/>
    </row>
    <row r="41" spans="1:11">
      <c r="A41" s="21" t="s">
        <v>182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f t="shared" si="1"/>
        <v>0</v>
      </c>
    </row>
    <row r="42" spans="1:11">
      <c r="A42" s="21" t="s">
        <v>307</v>
      </c>
      <c r="B42" s="1">
        <v>2</v>
      </c>
      <c r="C42" s="1">
        <v>1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f t="shared" si="1"/>
        <v>0.5</v>
      </c>
    </row>
    <row r="43" spans="1:11">
      <c r="A43" s="21" t="s">
        <v>190</v>
      </c>
      <c r="B43" s="1">
        <v>2</v>
      </c>
      <c r="C43" s="1">
        <v>2</v>
      </c>
      <c r="D43" s="1">
        <v>0</v>
      </c>
      <c r="E43" s="1">
        <v>2</v>
      </c>
      <c r="F43" s="1">
        <v>0</v>
      </c>
      <c r="G43" s="1">
        <v>0</v>
      </c>
      <c r="H43" s="1">
        <v>0</v>
      </c>
      <c r="I43" s="1">
        <f t="shared" si="1"/>
        <v>0.6</v>
      </c>
    </row>
    <row r="44" spans="1:11">
      <c r="A44" s="21" t="s">
        <v>193</v>
      </c>
      <c r="B44" s="1">
        <v>2</v>
      </c>
      <c r="C44" s="1">
        <v>2</v>
      </c>
      <c r="D44" s="1">
        <v>0</v>
      </c>
      <c r="E44" s="1">
        <v>2</v>
      </c>
      <c r="F44" s="1">
        <v>0</v>
      </c>
      <c r="G44" s="1">
        <v>0</v>
      </c>
      <c r="H44" s="1">
        <v>0</v>
      </c>
      <c r="I44" s="1">
        <f t="shared" si="1"/>
        <v>0.6</v>
      </c>
    </row>
    <row r="45" spans="1:11">
      <c r="A45" s="21" t="s">
        <v>197</v>
      </c>
      <c r="B45" s="1">
        <v>2</v>
      </c>
      <c r="C45" s="1">
        <v>2</v>
      </c>
      <c r="D45" s="1">
        <v>0</v>
      </c>
      <c r="E45" s="1">
        <v>2</v>
      </c>
      <c r="F45" s="1">
        <v>0</v>
      </c>
      <c r="G45" s="1">
        <v>1</v>
      </c>
      <c r="H45" s="1">
        <v>0</v>
      </c>
      <c r="I45" s="1">
        <f t="shared" si="1"/>
        <v>0.7</v>
      </c>
    </row>
    <row r="46" spans="1:11">
      <c r="A46" s="21" t="s">
        <v>199</v>
      </c>
      <c r="B46" s="1">
        <v>2</v>
      </c>
      <c r="C46" s="1">
        <v>2</v>
      </c>
      <c r="D46" s="1">
        <v>0</v>
      </c>
      <c r="E46" s="1">
        <v>2</v>
      </c>
      <c r="F46" s="1">
        <v>0</v>
      </c>
      <c r="G46" s="1">
        <v>1</v>
      </c>
      <c r="H46" s="1">
        <v>0</v>
      </c>
      <c r="I46" s="1">
        <f t="shared" si="1"/>
        <v>0.7</v>
      </c>
    </row>
    <row r="47" spans="1:11">
      <c r="A47" s="21" t="s">
        <v>203</v>
      </c>
      <c r="B47" s="1">
        <v>1</v>
      </c>
      <c r="C47" s="1">
        <v>1</v>
      </c>
      <c r="D47" s="1">
        <v>0</v>
      </c>
      <c r="E47" s="1">
        <v>2</v>
      </c>
      <c r="F47" s="1">
        <v>0</v>
      </c>
      <c r="G47" s="1">
        <v>0</v>
      </c>
      <c r="H47" s="1">
        <v>1</v>
      </c>
      <c r="I47" s="1">
        <f t="shared" si="1"/>
        <v>0.5</v>
      </c>
    </row>
    <row r="48" spans="1:11">
      <c r="A48" s="21" t="s">
        <v>206</v>
      </c>
      <c r="B48" s="1">
        <v>1</v>
      </c>
      <c r="C48" s="1">
        <v>1</v>
      </c>
      <c r="D48" s="1">
        <v>0</v>
      </c>
      <c r="E48" s="1">
        <v>2</v>
      </c>
      <c r="F48" s="1">
        <v>0</v>
      </c>
      <c r="G48" s="1">
        <v>0</v>
      </c>
      <c r="H48" s="1">
        <v>1</v>
      </c>
      <c r="I48" s="1">
        <f t="shared" si="1"/>
        <v>0.5</v>
      </c>
    </row>
    <row r="49" spans="1:9">
      <c r="A49" s="21" t="s">
        <v>207</v>
      </c>
      <c r="B49" s="1">
        <v>2</v>
      </c>
      <c r="C49" s="1">
        <v>1</v>
      </c>
      <c r="D49" s="1">
        <v>0</v>
      </c>
      <c r="E49" s="1">
        <v>2</v>
      </c>
      <c r="F49" s="1">
        <v>0</v>
      </c>
      <c r="G49" s="1">
        <v>1</v>
      </c>
      <c r="H49" s="1">
        <v>0</v>
      </c>
      <c r="I49" s="1">
        <f t="shared" si="1"/>
        <v>0.6</v>
      </c>
    </row>
    <row r="50" spans="1:9">
      <c r="A50" s="21" t="s">
        <v>211</v>
      </c>
      <c r="B50" s="1">
        <v>2</v>
      </c>
      <c r="C50" s="1">
        <v>2</v>
      </c>
      <c r="D50" s="1">
        <v>0</v>
      </c>
      <c r="E50" s="1">
        <v>2</v>
      </c>
      <c r="F50" s="1">
        <v>0</v>
      </c>
      <c r="G50" s="1">
        <v>1</v>
      </c>
      <c r="H50" s="1">
        <v>0</v>
      </c>
      <c r="I50" s="1">
        <f t="shared" si="1"/>
        <v>0.7</v>
      </c>
    </row>
    <row r="51" spans="1:9">
      <c r="A51" s="21" t="s">
        <v>215</v>
      </c>
      <c r="B51" s="1">
        <v>2</v>
      </c>
      <c r="C51" s="1">
        <v>2</v>
      </c>
      <c r="D51" s="1">
        <v>0</v>
      </c>
      <c r="E51" s="1">
        <v>2</v>
      </c>
      <c r="F51" s="1">
        <v>0</v>
      </c>
      <c r="G51" s="1">
        <v>0</v>
      </c>
      <c r="H51" s="1">
        <v>0</v>
      </c>
      <c r="I51" s="1">
        <f t="shared" si="1"/>
        <v>0.6</v>
      </c>
    </row>
    <row r="52" spans="1:9">
      <c r="A52" s="21" t="s">
        <v>219</v>
      </c>
      <c r="B52" s="1">
        <v>2</v>
      </c>
      <c r="C52" s="1">
        <v>2</v>
      </c>
      <c r="D52" s="1">
        <v>0</v>
      </c>
      <c r="E52" s="1">
        <v>2</v>
      </c>
      <c r="F52" s="1">
        <v>0</v>
      </c>
      <c r="G52" s="1">
        <v>0</v>
      </c>
      <c r="H52" s="1">
        <v>0</v>
      </c>
      <c r="I52" s="1">
        <f t="shared" si="1"/>
        <v>0.6</v>
      </c>
    </row>
    <row r="53" spans="1:9">
      <c r="A53" s="21" t="s">
        <v>223</v>
      </c>
      <c r="B53" s="1">
        <v>1</v>
      </c>
      <c r="C53" s="1">
        <v>1</v>
      </c>
      <c r="D53" s="1">
        <v>0</v>
      </c>
      <c r="E53" s="1">
        <v>2</v>
      </c>
      <c r="F53" s="1">
        <v>0</v>
      </c>
      <c r="G53" s="1">
        <v>0</v>
      </c>
      <c r="H53" s="1">
        <v>0</v>
      </c>
      <c r="I53" s="1">
        <f t="shared" si="1"/>
        <v>0.4</v>
      </c>
    </row>
    <row r="54" spans="1:9">
      <c r="A54" s="21" t="s">
        <v>225</v>
      </c>
      <c r="B54" s="1">
        <v>2</v>
      </c>
      <c r="C54" s="1">
        <v>2</v>
      </c>
      <c r="D54" s="1">
        <v>0</v>
      </c>
      <c r="E54" s="1">
        <v>2</v>
      </c>
      <c r="F54" s="1">
        <v>0</v>
      </c>
      <c r="G54" s="1">
        <v>1</v>
      </c>
      <c r="H54" s="1">
        <v>2</v>
      </c>
      <c r="I54" s="1">
        <f t="shared" si="1"/>
        <v>0.9</v>
      </c>
    </row>
    <row r="55" spans="1:9" ht="16">
      <c r="A55" s="22" t="s">
        <v>228</v>
      </c>
      <c r="B55" s="1">
        <v>0</v>
      </c>
      <c r="C55" s="1">
        <v>1</v>
      </c>
      <c r="D55" s="1">
        <v>0</v>
      </c>
      <c r="E55" s="1">
        <v>2</v>
      </c>
      <c r="F55" s="1">
        <v>0</v>
      </c>
      <c r="G55" s="1">
        <v>0</v>
      </c>
      <c r="H55" s="1">
        <v>1</v>
      </c>
      <c r="I55" s="1">
        <f t="shared" si="1"/>
        <v>0.4</v>
      </c>
    </row>
    <row r="56" spans="1:9" ht="16">
      <c r="A56" s="23" t="s">
        <v>233</v>
      </c>
      <c r="B56" s="1">
        <v>1</v>
      </c>
      <c r="C56" s="1">
        <v>1</v>
      </c>
      <c r="D56" s="1">
        <v>0</v>
      </c>
      <c r="E56" s="1">
        <v>2</v>
      </c>
      <c r="F56" s="1">
        <v>0</v>
      </c>
      <c r="G56" s="1">
        <v>0</v>
      </c>
      <c r="H56" s="1">
        <v>2</v>
      </c>
      <c r="I56" s="1">
        <f t="shared" si="1"/>
        <v>0.6</v>
      </c>
    </row>
    <row r="57" spans="1:9" ht="16">
      <c r="A57" s="23" t="s">
        <v>236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2</v>
      </c>
      <c r="I57" s="1">
        <f t="shared" si="1"/>
        <v>0.3</v>
      </c>
    </row>
    <row r="58" spans="1:9" ht="16">
      <c r="A58" s="23" t="s">
        <v>240</v>
      </c>
      <c r="B58" s="1">
        <v>1</v>
      </c>
      <c r="C58" s="1">
        <v>1</v>
      </c>
      <c r="D58" s="1">
        <v>0</v>
      </c>
      <c r="E58" s="1">
        <v>2</v>
      </c>
      <c r="F58" s="1">
        <v>0</v>
      </c>
      <c r="G58" s="1">
        <v>1</v>
      </c>
      <c r="H58" s="1">
        <v>2</v>
      </c>
      <c r="I58" s="1">
        <f t="shared" si="1"/>
        <v>0.7</v>
      </c>
    </row>
    <row r="59" spans="1:9" ht="16">
      <c r="A59" s="12" t="s">
        <v>126</v>
      </c>
      <c r="B59" s="1">
        <v>0</v>
      </c>
      <c r="C59" s="1">
        <v>1</v>
      </c>
      <c r="D59" s="1">
        <v>0</v>
      </c>
      <c r="E59" s="1">
        <v>2</v>
      </c>
      <c r="F59" s="1">
        <v>0</v>
      </c>
      <c r="G59" s="1">
        <v>0</v>
      </c>
      <c r="H59" s="1">
        <v>2</v>
      </c>
      <c r="I59" s="1">
        <f t="shared" si="1"/>
        <v>0.5</v>
      </c>
    </row>
    <row r="60" spans="1:9" ht="16">
      <c r="A60" s="22" t="s">
        <v>243</v>
      </c>
      <c r="B60" s="1">
        <v>2</v>
      </c>
      <c r="C60" s="1">
        <v>2</v>
      </c>
      <c r="D60" s="1">
        <v>0</v>
      </c>
      <c r="E60" s="1">
        <v>2</v>
      </c>
      <c r="F60" s="1">
        <v>0</v>
      </c>
      <c r="G60" s="1">
        <v>2</v>
      </c>
      <c r="H60" s="1">
        <v>2</v>
      </c>
      <c r="I60" s="1">
        <f t="shared" si="1"/>
        <v>1</v>
      </c>
    </row>
    <row r="61" spans="1:9">
      <c r="A61" s="24" t="s">
        <v>246</v>
      </c>
      <c r="B61" s="1">
        <v>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f t="shared" si="1"/>
        <v>0.2</v>
      </c>
    </row>
    <row r="62" spans="1:9">
      <c r="A62" s="24" t="s">
        <v>249</v>
      </c>
      <c r="B62" s="1">
        <v>1</v>
      </c>
      <c r="C62" s="1">
        <v>1</v>
      </c>
      <c r="D62" s="1">
        <v>0</v>
      </c>
      <c r="E62" s="1">
        <v>2</v>
      </c>
      <c r="F62" s="1">
        <v>0</v>
      </c>
      <c r="G62" s="1">
        <v>1</v>
      </c>
      <c r="H62" s="1">
        <v>0</v>
      </c>
      <c r="I62" s="1">
        <f t="shared" si="1"/>
        <v>0.5</v>
      </c>
    </row>
    <row r="63" spans="1:9">
      <c r="A63" s="24" t="s">
        <v>254</v>
      </c>
      <c r="B63" s="1">
        <v>2</v>
      </c>
      <c r="C63" s="1">
        <v>1</v>
      </c>
      <c r="D63" s="1">
        <v>0</v>
      </c>
      <c r="E63" s="1">
        <v>2</v>
      </c>
      <c r="F63" s="1">
        <v>0</v>
      </c>
      <c r="G63" s="1">
        <v>1</v>
      </c>
      <c r="H63" s="1">
        <v>0</v>
      </c>
      <c r="I63" s="1">
        <f t="shared" si="1"/>
        <v>0.6</v>
      </c>
    </row>
    <row r="64" spans="1:9">
      <c r="A64" s="24" t="s">
        <v>257</v>
      </c>
      <c r="B64" s="1">
        <v>2</v>
      </c>
      <c r="C64" s="1">
        <v>2</v>
      </c>
      <c r="D64" s="1">
        <v>0</v>
      </c>
      <c r="E64" s="1">
        <v>2</v>
      </c>
      <c r="F64" s="1">
        <v>0</v>
      </c>
      <c r="G64" s="1">
        <v>0</v>
      </c>
      <c r="H64" s="1">
        <v>2</v>
      </c>
      <c r="I64" s="1">
        <f t="shared" si="1"/>
        <v>0.8</v>
      </c>
    </row>
    <row r="65" spans="1:12">
      <c r="A65" s="24" t="s">
        <v>261</v>
      </c>
      <c r="B65" s="1">
        <v>2</v>
      </c>
      <c r="C65" s="1">
        <v>2</v>
      </c>
      <c r="D65" s="1">
        <v>0</v>
      </c>
      <c r="E65" s="1">
        <v>2</v>
      </c>
      <c r="F65" s="1">
        <v>0</v>
      </c>
      <c r="G65" s="1">
        <v>0</v>
      </c>
      <c r="H65" s="1">
        <v>2</v>
      </c>
      <c r="I65" s="1">
        <f t="shared" si="1"/>
        <v>0.8</v>
      </c>
    </row>
    <row r="66" spans="1:12">
      <c r="A66" s="24" t="s">
        <v>265</v>
      </c>
      <c r="B66" s="1">
        <v>2</v>
      </c>
      <c r="C66" s="1">
        <v>1</v>
      </c>
      <c r="D66" s="1">
        <v>0</v>
      </c>
      <c r="E66" s="1">
        <v>2</v>
      </c>
      <c r="F66" s="1">
        <v>0</v>
      </c>
      <c r="G66" s="1">
        <v>0</v>
      </c>
      <c r="H66" s="1">
        <v>2</v>
      </c>
      <c r="I66" s="1">
        <f t="shared" si="1"/>
        <v>0.7</v>
      </c>
    </row>
    <row r="67" spans="1:12">
      <c r="A67" s="27" t="s">
        <v>268</v>
      </c>
      <c r="B67">
        <v>2</v>
      </c>
      <c r="C67">
        <v>1</v>
      </c>
      <c r="D67">
        <v>0</v>
      </c>
      <c r="E67">
        <v>2</v>
      </c>
      <c r="F67">
        <v>0</v>
      </c>
      <c r="G67">
        <v>0</v>
      </c>
      <c r="H67">
        <v>1</v>
      </c>
      <c r="I67" s="1">
        <f t="shared" si="1"/>
        <v>0.6</v>
      </c>
    </row>
    <row r="68" spans="1:12">
      <c r="A68" s="27" t="s">
        <v>272</v>
      </c>
      <c r="B68">
        <v>2</v>
      </c>
      <c r="C68">
        <v>2</v>
      </c>
      <c r="D68">
        <v>0</v>
      </c>
      <c r="E68">
        <v>2</v>
      </c>
      <c r="F68">
        <v>0</v>
      </c>
      <c r="G68">
        <v>1</v>
      </c>
      <c r="H68">
        <v>1</v>
      </c>
      <c r="I68" s="1">
        <f t="shared" si="1"/>
        <v>0.8</v>
      </c>
    </row>
    <row r="69" spans="1:12">
      <c r="A69" s="27" t="s">
        <v>276</v>
      </c>
      <c r="B69">
        <v>2</v>
      </c>
      <c r="C69">
        <v>1</v>
      </c>
      <c r="D69">
        <v>0</v>
      </c>
      <c r="E69">
        <v>2</v>
      </c>
      <c r="F69">
        <v>0</v>
      </c>
      <c r="G69">
        <v>1</v>
      </c>
      <c r="H69">
        <v>1</v>
      </c>
      <c r="I69" s="1">
        <f t="shared" si="1"/>
        <v>0.7</v>
      </c>
    </row>
    <row r="70" spans="1:12">
      <c r="A70" s="27" t="s">
        <v>280</v>
      </c>
      <c r="B70">
        <v>1</v>
      </c>
      <c r="C70">
        <v>1</v>
      </c>
      <c r="D70">
        <v>0</v>
      </c>
      <c r="E70">
        <v>2</v>
      </c>
      <c r="F70">
        <v>0</v>
      </c>
      <c r="G70">
        <v>2</v>
      </c>
      <c r="H70">
        <v>2</v>
      </c>
      <c r="I70" s="1">
        <f t="shared" si="1"/>
        <v>0.8</v>
      </c>
    </row>
    <row r="71" spans="1:12">
      <c r="A71" s="27" t="s">
        <v>283</v>
      </c>
      <c r="B71">
        <v>1</v>
      </c>
      <c r="C71">
        <v>2</v>
      </c>
      <c r="D71">
        <v>0</v>
      </c>
      <c r="E71">
        <v>2</v>
      </c>
      <c r="F71">
        <v>0</v>
      </c>
      <c r="G71">
        <v>2</v>
      </c>
      <c r="H71">
        <v>2</v>
      </c>
      <c r="I71" s="1">
        <f t="shared" si="1"/>
        <v>0.9</v>
      </c>
      <c r="L71" s="1"/>
    </row>
    <row r="72" spans="1:12">
      <c r="A72" s="27" t="s">
        <v>287</v>
      </c>
      <c r="B72">
        <v>2</v>
      </c>
      <c r="C72">
        <v>1</v>
      </c>
      <c r="D72" s="6">
        <v>0</v>
      </c>
      <c r="E72">
        <v>2</v>
      </c>
      <c r="F72">
        <v>0</v>
      </c>
      <c r="G72">
        <v>1</v>
      </c>
      <c r="H72">
        <v>0</v>
      </c>
      <c r="I72" s="1">
        <f t="shared" si="1"/>
        <v>0.6</v>
      </c>
      <c r="L72" s="1"/>
    </row>
    <row r="73" spans="1:12">
      <c r="A73" s="27" t="s">
        <v>290</v>
      </c>
      <c r="B73">
        <v>0</v>
      </c>
      <c r="C73">
        <v>1</v>
      </c>
      <c r="D73">
        <v>0</v>
      </c>
      <c r="E73">
        <v>2</v>
      </c>
      <c r="F73">
        <v>0</v>
      </c>
      <c r="G73">
        <v>0</v>
      </c>
      <c r="H73">
        <v>1</v>
      </c>
      <c r="I73" s="1">
        <f t="shared" si="1"/>
        <v>0.4</v>
      </c>
      <c r="L73" s="1"/>
    </row>
    <row r="74" spans="1:12">
      <c r="A74" s="27" t="s">
        <v>292</v>
      </c>
      <c r="B74">
        <v>2</v>
      </c>
      <c r="C74">
        <v>1</v>
      </c>
      <c r="D74">
        <v>0</v>
      </c>
      <c r="E74">
        <v>2</v>
      </c>
      <c r="F74">
        <v>0</v>
      </c>
      <c r="G74">
        <v>0</v>
      </c>
      <c r="H74">
        <v>0</v>
      </c>
      <c r="I74" s="1">
        <f t="shared" si="1"/>
        <v>0.5</v>
      </c>
      <c r="L74" s="1"/>
    </row>
    <row r="75" spans="1:12">
      <c r="A75" s="27" t="s">
        <v>295</v>
      </c>
      <c r="B75">
        <v>2</v>
      </c>
      <c r="C75">
        <v>2</v>
      </c>
      <c r="D75">
        <v>0</v>
      </c>
      <c r="E75">
        <v>2</v>
      </c>
      <c r="F75">
        <v>0</v>
      </c>
      <c r="G75">
        <v>1</v>
      </c>
      <c r="H75">
        <v>1</v>
      </c>
      <c r="I75" s="1">
        <f t="shared" si="1"/>
        <v>0.8</v>
      </c>
      <c r="L75" s="1"/>
    </row>
    <row r="76" spans="1:12">
      <c r="K76" s="1">
        <f t="shared" ref="K76:K139" si="2">SUM(D76:J76)</f>
        <v>0</v>
      </c>
      <c r="L76" s="1"/>
    </row>
    <row r="77" spans="1:12">
      <c r="K77" s="1">
        <f t="shared" si="2"/>
        <v>0</v>
      </c>
      <c r="L77" s="1"/>
    </row>
    <row r="78" spans="1:12">
      <c r="K78" s="1">
        <f t="shared" si="2"/>
        <v>0</v>
      </c>
      <c r="L78" s="1"/>
    </row>
    <row r="79" spans="1:12">
      <c r="K79" s="1">
        <f t="shared" si="2"/>
        <v>0</v>
      </c>
      <c r="L79" s="1"/>
    </row>
    <row r="80" spans="1:12">
      <c r="K80" s="1">
        <f t="shared" si="2"/>
        <v>0</v>
      </c>
      <c r="L80" s="1"/>
    </row>
    <row r="81" spans="11:12">
      <c r="K81" s="1">
        <f t="shared" si="2"/>
        <v>0</v>
      </c>
      <c r="L81" s="1"/>
    </row>
    <row r="82" spans="11:12">
      <c r="K82" s="1">
        <f t="shared" si="2"/>
        <v>0</v>
      </c>
      <c r="L82" s="1"/>
    </row>
    <row r="83" spans="11:12">
      <c r="K83" s="1">
        <f t="shared" si="2"/>
        <v>0</v>
      </c>
      <c r="L83" s="1"/>
    </row>
    <row r="84" spans="11:12">
      <c r="K84" s="1">
        <f t="shared" si="2"/>
        <v>0</v>
      </c>
      <c r="L84" s="1"/>
    </row>
    <row r="85" spans="11:12">
      <c r="K85" s="1">
        <f t="shared" si="2"/>
        <v>0</v>
      </c>
      <c r="L85" s="1"/>
    </row>
    <row r="86" spans="11:12">
      <c r="K86" s="1">
        <f t="shared" si="2"/>
        <v>0</v>
      </c>
      <c r="L86" s="1"/>
    </row>
    <row r="87" spans="11:12">
      <c r="K87" s="1">
        <f t="shared" si="2"/>
        <v>0</v>
      </c>
      <c r="L87" s="1"/>
    </row>
    <row r="88" spans="11:12">
      <c r="K88" s="1">
        <f t="shared" si="2"/>
        <v>0</v>
      </c>
      <c r="L88" s="1"/>
    </row>
    <row r="89" spans="11:12">
      <c r="K89" s="1">
        <f t="shared" si="2"/>
        <v>0</v>
      </c>
      <c r="L89" s="1"/>
    </row>
    <row r="90" spans="11:12">
      <c r="K90" s="1">
        <f t="shared" si="2"/>
        <v>0</v>
      </c>
      <c r="L90" s="1"/>
    </row>
    <row r="91" spans="11:12">
      <c r="K91" s="1">
        <f t="shared" si="2"/>
        <v>0</v>
      </c>
      <c r="L91" s="1"/>
    </row>
    <row r="92" spans="11:12">
      <c r="K92" s="1">
        <f t="shared" si="2"/>
        <v>0</v>
      </c>
      <c r="L92" s="1"/>
    </row>
    <row r="93" spans="11:12">
      <c r="K93" s="1">
        <f t="shared" si="2"/>
        <v>0</v>
      </c>
      <c r="L93" s="1"/>
    </row>
    <row r="94" spans="11:12">
      <c r="K94" s="1">
        <f t="shared" si="2"/>
        <v>0</v>
      </c>
      <c r="L94" s="1"/>
    </row>
    <row r="95" spans="11:12">
      <c r="K95" s="1">
        <f t="shared" si="2"/>
        <v>0</v>
      </c>
      <c r="L95" s="1"/>
    </row>
    <row r="96" spans="11:12">
      <c r="K96" s="1">
        <f t="shared" si="2"/>
        <v>0</v>
      </c>
      <c r="L96" s="1"/>
    </row>
    <row r="97" spans="11:12">
      <c r="K97" s="1">
        <f t="shared" si="2"/>
        <v>0</v>
      </c>
      <c r="L97" s="1"/>
    </row>
    <row r="98" spans="11:12">
      <c r="K98" s="1">
        <f t="shared" si="2"/>
        <v>0</v>
      </c>
      <c r="L98" s="1"/>
    </row>
    <row r="99" spans="11:12">
      <c r="K99" s="1">
        <f t="shared" si="2"/>
        <v>0</v>
      </c>
      <c r="L99" s="1"/>
    </row>
    <row r="100" spans="11:12">
      <c r="K100" s="1">
        <f t="shared" si="2"/>
        <v>0</v>
      </c>
      <c r="L100" s="1"/>
    </row>
    <row r="101" spans="11:12">
      <c r="K101" s="1">
        <f t="shared" si="2"/>
        <v>0</v>
      </c>
      <c r="L101" s="1"/>
    </row>
    <row r="102" spans="11:12">
      <c r="K102" s="1">
        <f t="shared" si="2"/>
        <v>0</v>
      </c>
      <c r="L102" s="1"/>
    </row>
    <row r="103" spans="11:12">
      <c r="K103" s="1">
        <f t="shared" si="2"/>
        <v>0</v>
      </c>
      <c r="L103" s="1"/>
    </row>
    <row r="104" spans="11:12">
      <c r="K104" s="1">
        <f t="shared" si="2"/>
        <v>0</v>
      </c>
      <c r="L104" s="1"/>
    </row>
    <row r="105" spans="11:12">
      <c r="K105" s="1">
        <f t="shared" si="2"/>
        <v>0</v>
      </c>
      <c r="L105" s="1"/>
    </row>
    <row r="106" spans="11:12">
      <c r="K106" s="1">
        <f t="shared" si="2"/>
        <v>0</v>
      </c>
      <c r="L106" s="1"/>
    </row>
    <row r="107" spans="11:12">
      <c r="K107" s="1">
        <f t="shared" si="2"/>
        <v>0</v>
      </c>
      <c r="L107" s="1"/>
    </row>
    <row r="108" spans="11:12">
      <c r="K108" s="1">
        <f t="shared" si="2"/>
        <v>0</v>
      </c>
      <c r="L108" s="1"/>
    </row>
    <row r="109" spans="11:12">
      <c r="K109" s="1">
        <f t="shared" si="2"/>
        <v>0</v>
      </c>
      <c r="L109" s="1"/>
    </row>
    <row r="110" spans="11:12">
      <c r="K110" s="1">
        <f t="shared" si="2"/>
        <v>0</v>
      </c>
      <c r="L110" s="1"/>
    </row>
    <row r="111" spans="11:12">
      <c r="K111" s="1">
        <f t="shared" si="2"/>
        <v>0</v>
      </c>
      <c r="L111" s="1"/>
    </row>
    <row r="112" spans="11:12">
      <c r="K112" s="1">
        <f t="shared" si="2"/>
        <v>0</v>
      </c>
      <c r="L112" s="1"/>
    </row>
    <row r="113" spans="11:12">
      <c r="K113" s="1">
        <f t="shared" si="2"/>
        <v>0</v>
      </c>
      <c r="L113" s="1"/>
    </row>
    <row r="114" spans="11:12">
      <c r="K114" s="1">
        <f t="shared" si="2"/>
        <v>0</v>
      </c>
      <c r="L114" s="1"/>
    </row>
    <row r="115" spans="11:12">
      <c r="K115" s="1">
        <f t="shared" si="2"/>
        <v>0</v>
      </c>
      <c r="L115" s="1"/>
    </row>
    <row r="116" spans="11:12">
      <c r="K116" s="1">
        <f t="shared" si="2"/>
        <v>0</v>
      </c>
      <c r="L116" s="1"/>
    </row>
    <row r="117" spans="11:12">
      <c r="K117" s="1">
        <f t="shared" si="2"/>
        <v>0</v>
      </c>
      <c r="L117" s="1"/>
    </row>
    <row r="118" spans="11:12">
      <c r="K118" s="1">
        <f t="shared" si="2"/>
        <v>0</v>
      </c>
      <c r="L118" s="1"/>
    </row>
    <row r="119" spans="11:12">
      <c r="K119" s="1">
        <f t="shared" si="2"/>
        <v>0</v>
      </c>
      <c r="L119" s="1"/>
    </row>
    <row r="120" spans="11:12">
      <c r="K120" s="1">
        <f t="shared" si="2"/>
        <v>0</v>
      </c>
      <c r="L120" s="1"/>
    </row>
    <row r="121" spans="11:12">
      <c r="K121" s="1">
        <f t="shared" si="2"/>
        <v>0</v>
      </c>
      <c r="L121" s="1"/>
    </row>
    <row r="122" spans="11:12">
      <c r="K122" s="1">
        <f t="shared" si="2"/>
        <v>0</v>
      </c>
      <c r="L122" s="1"/>
    </row>
    <row r="123" spans="11:12">
      <c r="K123" s="1">
        <f t="shared" si="2"/>
        <v>0</v>
      </c>
      <c r="L123" s="1"/>
    </row>
    <row r="124" spans="11:12">
      <c r="K124" s="1">
        <f t="shared" si="2"/>
        <v>0</v>
      </c>
      <c r="L124" s="1"/>
    </row>
    <row r="125" spans="11:12">
      <c r="K125" s="1">
        <f t="shared" si="2"/>
        <v>0</v>
      </c>
      <c r="L125" s="1"/>
    </row>
    <row r="126" spans="11:12">
      <c r="K126" s="1">
        <f t="shared" si="2"/>
        <v>0</v>
      </c>
      <c r="L126" s="1"/>
    </row>
    <row r="127" spans="11:12">
      <c r="K127" s="1">
        <f t="shared" si="2"/>
        <v>0</v>
      </c>
      <c r="L127" s="1"/>
    </row>
    <row r="128" spans="11:12">
      <c r="K128" s="1">
        <f t="shared" si="2"/>
        <v>0</v>
      </c>
      <c r="L128" s="1"/>
    </row>
    <row r="129" spans="11:12">
      <c r="K129" s="1">
        <f t="shared" si="2"/>
        <v>0</v>
      </c>
      <c r="L129" s="1"/>
    </row>
    <row r="130" spans="11:12">
      <c r="K130" s="1">
        <f t="shared" si="2"/>
        <v>0</v>
      </c>
      <c r="L130" s="1"/>
    </row>
    <row r="131" spans="11:12">
      <c r="K131" s="1">
        <f t="shared" si="2"/>
        <v>0</v>
      </c>
      <c r="L131" s="1"/>
    </row>
    <row r="132" spans="11:12">
      <c r="K132" s="1">
        <f t="shared" si="2"/>
        <v>0</v>
      </c>
      <c r="L132" s="1"/>
    </row>
    <row r="133" spans="11:12">
      <c r="K133" s="1">
        <f t="shared" si="2"/>
        <v>0</v>
      </c>
      <c r="L133" s="1"/>
    </row>
    <row r="134" spans="11:12">
      <c r="K134" s="1">
        <f t="shared" si="2"/>
        <v>0</v>
      </c>
      <c r="L134" s="1"/>
    </row>
    <row r="135" spans="11:12">
      <c r="K135" s="1">
        <f t="shared" si="2"/>
        <v>0</v>
      </c>
      <c r="L135" s="1"/>
    </row>
    <row r="136" spans="11:12">
      <c r="K136" s="1">
        <f t="shared" si="2"/>
        <v>0</v>
      </c>
    </row>
    <row r="137" spans="11:12">
      <c r="K137" s="1">
        <f t="shared" si="2"/>
        <v>0</v>
      </c>
    </row>
    <row r="138" spans="11:12">
      <c r="K138" s="1">
        <f t="shared" si="2"/>
        <v>0</v>
      </c>
    </row>
    <row r="139" spans="11:12">
      <c r="K139" s="1">
        <f t="shared" si="2"/>
        <v>0</v>
      </c>
    </row>
    <row r="140" spans="11:12">
      <c r="K140" s="1">
        <f t="shared" ref="K140:K149" si="3">SUM(D140:J140)</f>
        <v>0</v>
      </c>
    </row>
    <row r="141" spans="11:12">
      <c r="K141">
        <f t="shared" si="3"/>
        <v>0</v>
      </c>
    </row>
    <row r="142" spans="11:12">
      <c r="K142">
        <f t="shared" si="3"/>
        <v>0</v>
      </c>
    </row>
    <row r="143" spans="11:12">
      <c r="K143">
        <f t="shared" si="3"/>
        <v>0</v>
      </c>
    </row>
    <row r="144" spans="11:12">
      <c r="K144">
        <f t="shared" si="3"/>
        <v>0</v>
      </c>
    </row>
    <row r="145" spans="11:11">
      <c r="K145">
        <f t="shared" si="3"/>
        <v>0</v>
      </c>
    </row>
    <row r="146" spans="11:11">
      <c r="K146">
        <f t="shared" si="3"/>
        <v>0</v>
      </c>
    </row>
    <row r="147" spans="11:11">
      <c r="K147">
        <f t="shared" si="3"/>
        <v>0</v>
      </c>
    </row>
    <row r="148" spans="11:11">
      <c r="K148">
        <f t="shared" si="3"/>
        <v>0</v>
      </c>
    </row>
    <row r="149" spans="11:11">
      <c r="K149">
        <f t="shared" si="3"/>
        <v>0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3"/>
  <sheetViews>
    <sheetView workbookViewId="0">
      <selection activeCell="K2" sqref="K2:K75"/>
    </sheetView>
  </sheetViews>
  <sheetFormatPr baseColWidth="10" defaultColWidth="9" defaultRowHeight="15"/>
  <cols>
    <col min="1" max="1" width="19.1640625" customWidth="1"/>
    <col min="2" max="2" width="27.1640625" customWidth="1"/>
    <col min="3" max="3" width="22.5" customWidth="1"/>
    <col min="4" max="4" width="17.6640625" customWidth="1"/>
    <col min="5" max="5" width="22.5" customWidth="1"/>
    <col min="6" max="6" width="16.1640625" customWidth="1"/>
  </cols>
  <sheetData>
    <row r="1" spans="1:19" ht="16">
      <c r="A1" s="1"/>
      <c r="B1" s="2" t="s">
        <v>308</v>
      </c>
      <c r="C1" s="3" t="s">
        <v>309</v>
      </c>
      <c r="D1" s="3" t="s">
        <v>310</v>
      </c>
      <c r="E1" s="3" t="s">
        <v>9</v>
      </c>
      <c r="F1" s="6"/>
      <c r="L1" s="14" t="s">
        <v>311</v>
      </c>
      <c r="M1" s="14" t="s">
        <v>312</v>
      </c>
      <c r="N1" s="16" t="s">
        <v>9</v>
      </c>
    </row>
    <row r="2" spans="1:19" ht="16">
      <c r="A2" s="4" t="s">
        <v>17</v>
      </c>
      <c r="B2">
        <v>0</v>
      </c>
      <c r="C2">
        <v>3</v>
      </c>
      <c r="D2">
        <v>1</v>
      </c>
      <c r="E2">
        <f>SUM(B2:D2)/7</f>
        <v>0.57142857142857095</v>
      </c>
      <c r="L2" s="15"/>
      <c r="M2" s="17">
        <v>100000000</v>
      </c>
      <c r="N2" s="1">
        <v>0.62916666666666698</v>
      </c>
    </row>
    <row r="3" spans="1:19" ht="16">
      <c r="A3" s="5" t="s">
        <v>22</v>
      </c>
      <c r="B3" s="6">
        <v>1</v>
      </c>
      <c r="C3">
        <v>3</v>
      </c>
      <c r="D3">
        <v>2</v>
      </c>
      <c r="E3">
        <f t="shared" ref="E3:E59" si="0">SUM(B3:D3)/7</f>
        <v>0.85714285714285698</v>
      </c>
      <c r="L3" s="15"/>
      <c r="M3" s="17">
        <v>1700000</v>
      </c>
      <c r="N3" s="1">
        <v>0.531944444444444</v>
      </c>
    </row>
    <row r="4" spans="1:19" ht="16">
      <c r="A4" s="5" t="s">
        <v>27</v>
      </c>
      <c r="B4">
        <v>0</v>
      </c>
      <c r="C4">
        <v>3</v>
      </c>
      <c r="D4">
        <v>1</v>
      </c>
      <c r="E4">
        <f t="shared" si="0"/>
        <v>0.57142857142857095</v>
      </c>
      <c r="L4" s="15"/>
      <c r="M4" s="17">
        <v>7500000</v>
      </c>
      <c r="N4" s="1">
        <v>0.60624999999999996</v>
      </c>
    </row>
    <row r="5" spans="1:19" ht="16">
      <c r="A5" s="7" t="s">
        <v>31</v>
      </c>
      <c r="B5">
        <v>0</v>
      </c>
      <c r="C5">
        <v>2</v>
      </c>
      <c r="D5">
        <v>1</v>
      </c>
      <c r="E5">
        <f t="shared" si="0"/>
        <v>0.42857142857142899</v>
      </c>
      <c r="L5" s="15"/>
      <c r="M5" s="17">
        <v>1000000000</v>
      </c>
      <c r="N5" s="1">
        <v>0.34652777777777799</v>
      </c>
    </row>
    <row r="6" spans="1:19">
      <c r="A6" s="8" t="s">
        <v>35</v>
      </c>
      <c r="B6">
        <v>1</v>
      </c>
      <c r="C6">
        <v>3</v>
      </c>
      <c r="D6">
        <v>2</v>
      </c>
      <c r="E6">
        <f t="shared" si="0"/>
        <v>0.85714285714285698</v>
      </c>
      <c r="L6" s="15"/>
      <c r="M6" s="15"/>
      <c r="N6" s="15">
        <v>0.8</v>
      </c>
    </row>
    <row r="7" spans="1:19" ht="16">
      <c r="A7" s="9" t="s">
        <v>39</v>
      </c>
      <c r="B7">
        <v>1</v>
      </c>
      <c r="C7">
        <v>3</v>
      </c>
      <c r="D7">
        <v>2</v>
      </c>
      <c r="E7">
        <f t="shared" si="0"/>
        <v>0.85714285714285698</v>
      </c>
      <c r="L7" s="15"/>
      <c r="M7" s="17">
        <v>4500000</v>
      </c>
      <c r="N7" s="1">
        <v>0.65138888888888902</v>
      </c>
    </row>
    <row r="8" spans="1:19" ht="16">
      <c r="A8" s="9" t="s">
        <v>43</v>
      </c>
      <c r="B8">
        <v>1</v>
      </c>
      <c r="C8">
        <v>1</v>
      </c>
      <c r="D8">
        <v>1</v>
      </c>
      <c r="E8">
        <f t="shared" si="0"/>
        <v>0.42857142857142899</v>
      </c>
      <c r="L8" s="15"/>
      <c r="M8" s="17">
        <v>31900000</v>
      </c>
      <c r="N8" s="1">
        <v>0.49236111111111103</v>
      </c>
    </row>
    <row r="9" spans="1:19" ht="16">
      <c r="A9" s="9" t="s">
        <v>47</v>
      </c>
      <c r="B9">
        <v>0</v>
      </c>
      <c r="C9">
        <v>1</v>
      </c>
      <c r="D9">
        <v>1</v>
      </c>
      <c r="E9">
        <f t="shared" si="0"/>
        <v>0.28571428571428598</v>
      </c>
      <c r="L9" s="15"/>
      <c r="M9" s="17">
        <v>85300000</v>
      </c>
      <c r="N9" s="1">
        <v>0.25833333333333303</v>
      </c>
    </row>
    <row r="10" spans="1:19" ht="16">
      <c r="A10" s="10" t="s">
        <v>51</v>
      </c>
      <c r="B10">
        <v>0</v>
      </c>
      <c r="C10">
        <v>3</v>
      </c>
      <c r="D10">
        <v>1</v>
      </c>
      <c r="E10">
        <f t="shared" si="0"/>
        <v>0.57142857142857095</v>
      </c>
      <c r="L10" s="15"/>
      <c r="M10" s="17">
        <v>6000000</v>
      </c>
      <c r="N10" s="1">
        <v>0.65347222222222201</v>
      </c>
    </row>
    <row r="11" spans="1:19" ht="16">
      <c r="A11" s="5" t="s">
        <v>55</v>
      </c>
      <c r="B11">
        <v>0</v>
      </c>
      <c r="C11">
        <v>2</v>
      </c>
      <c r="D11">
        <v>1</v>
      </c>
      <c r="E11">
        <f t="shared" si="0"/>
        <v>0.42857142857142899</v>
      </c>
      <c r="L11" s="15"/>
      <c r="M11" s="17">
        <v>48000000</v>
      </c>
      <c r="N11" s="1">
        <v>0.47986111111111102</v>
      </c>
    </row>
    <row r="12" spans="1:19" ht="16">
      <c r="A12" s="5" t="s">
        <v>59</v>
      </c>
      <c r="B12">
        <v>0</v>
      </c>
      <c r="C12">
        <v>2</v>
      </c>
      <c r="D12">
        <v>1</v>
      </c>
      <c r="E12">
        <f t="shared" si="0"/>
        <v>0.42857142857142899</v>
      </c>
      <c r="L12" s="15"/>
      <c r="M12" s="17">
        <v>5500000000</v>
      </c>
      <c r="N12" s="1">
        <v>0.31874999999999998</v>
      </c>
      <c r="S12" s="1" t="s">
        <v>313</v>
      </c>
    </row>
    <row r="13" spans="1:19">
      <c r="A13" s="8" t="s">
        <v>63</v>
      </c>
      <c r="B13">
        <v>1</v>
      </c>
      <c r="C13">
        <v>3</v>
      </c>
      <c r="D13">
        <v>2</v>
      </c>
      <c r="E13">
        <f t="shared" si="0"/>
        <v>0.85714285714285698</v>
      </c>
      <c r="L13" s="15"/>
      <c r="M13" s="15"/>
      <c r="N13" s="15">
        <v>0.6</v>
      </c>
      <c r="S13" s="1"/>
    </row>
    <row r="14" spans="1:19" ht="16">
      <c r="A14" s="11" t="s">
        <v>67</v>
      </c>
      <c r="B14">
        <v>0</v>
      </c>
      <c r="C14">
        <v>2</v>
      </c>
      <c r="D14">
        <v>1</v>
      </c>
      <c r="E14">
        <f t="shared" si="0"/>
        <v>0.42857142857142899</v>
      </c>
      <c r="L14" s="15"/>
      <c r="M14" s="17">
        <v>6000000</v>
      </c>
      <c r="N14" s="1">
        <v>0.30833333333333302</v>
      </c>
      <c r="S14" s="1"/>
    </row>
    <row r="15" spans="1:19" ht="16">
      <c r="A15" s="11" t="s">
        <v>71</v>
      </c>
      <c r="B15">
        <v>0</v>
      </c>
      <c r="C15">
        <v>2</v>
      </c>
      <c r="D15">
        <v>1</v>
      </c>
      <c r="E15">
        <f t="shared" si="0"/>
        <v>0.42857142857142899</v>
      </c>
      <c r="L15" s="15"/>
      <c r="M15" s="17"/>
      <c r="N15" s="1">
        <v>0.47986111111111102</v>
      </c>
      <c r="S15" s="1"/>
    </row>
    <row r="16" spans="1:19" ht="16">
      <c r="A16" s="10" t="s">
        <v>75</v>
      </c>
      <c r="B16">
        <v>0</v>
      </c>
      <c r="C16">
        <v>2</v>
      </c>
      <c r="D16">
        <v>1</v>
      </c>
      <c r="E16">
        <f t="shared" si="0"/>
        <v>0.42857142857142899</v>
      </c>
      <c r="L16" s="15"/>
      <c r="M16" s="17">
        <v>10000000</v>
      </c>
      <c r="N16" s="1">
        <v>0.329166666666667</v>
      </c>
      <c r="S16" s="1"/>
    </row>
    <row r="17" spans="1:19">
      <c r="A17" s="8" t="s">
        <v>79</v>
      </c>
      <c r="B17">
        <v>0</v>
      </c>
      <c r="C17">
        <v>2</v>
      </c>
      <c r="D17">
        <v>1</v>
      </c>
      <c r="E17">
        <f t="shared" si="0"/>
        <v>0.42857142857142899</v>
      </c>
      <c r="L17" s="15"/>
      <c r="M17" s="15"/>
      <c r="N17" s="15">
        <v>0.4</v>
      </c>
      <c r="S17" s="1"/>
    </row>
    <row r="18" spans="1:19" ht="16">
      <c r="A18" s="5" t="s">
        <v>83</v>
      </c>
      <c r="B18">
        <v>0</v>
      </c>
      <c r="C18">
        <v>1</v>
      </c>
      <c r="D18">
        <v>1</v>
      </c>
      <c r="E18">
        <f t="shared" si="0"/>
        <v>0.28571428571428598</v>
      </c>
      <c r="L18" s="15"/>
      <c r="M18" s="17"/>
      <c r="N18" s="1">
        <v>0.30347222222222198</v>
      </c>
      <c r="S18" s="1"/>
    </row>
    <row r="19" spans="1:19" ht="16">
      <c r="A19" s="11" t="s">
        <v>87</v>
      </c>
      <c r="B19">
        <v>1</v>
      </c>
      <c r="C19">
        <v>3</v>
      </c>
      <c r="D19">
        <v>2</v>
      </c>
      <c r="E19">
        <f t="shared" si="0"/>
        <v>0.85714285714285698</v>
      </c>
      <c r="L19" s="15"/>
      <c r="M19" s="17">
        <v>1000000</v>
      </c>
      <c r="N19" s="1">
        <v>0.65138888888888902</v>
      </c>
      <c r="S19" s="1"/>
    </row>
    <row r="20" spans="1:19" ht="16">
      <c r="A20" s="10" t="s">
        <v>91</v>
      </c>
      <c r="B20">
        <v>2</v>
      </c>
      <c r="C20">
        <v>3</v>
      </c>
      <c r="D20">
        <v>2</v>
      </c>
      <c r="E20">
        <f t="shared" si="0"/>
        <v>1</v>
      </c>
      <c r="L20" s="15"/>
      <c r="M20" s="17">
        <v>1900000</v>
      </c>
      <c r="N20" s="1">
        <v>0.51944444444444404</v>
      </c>
      <c r="S20" s="1"/>
    </row>
    <row r="21" spans="1:19" ht="16">
      <c r="A21" s="5" t="s">
        <v>95</v>
      </c>
      <c r="B21">
        <v>2</v>
      </c>
      <c r="C21">
        <v>3</v>
      </c>
      <c r="D21">
        <v>2</v>
      </c>
      <c r="E21">
        <f t="shared" si="0"/>
        <v>1</v>
      </c>
      <c r="L21" s="15"/>
      <c r="M21" s="17"/>
      <c r="N21" s="1">
        <v>0.82152777777777797</v>
      </c>
      <c r="S21" s="1"/>
    </row>
    <row r="22" spans="1:19" ht="16">
      <c r="A22" s="5" t="s">
        <v>99</v>
      </c>
      <c r="B22">
        <v>1</v>
      </c>
      <c r="C22">
        <v>3</v>
      </c>
      <c r="D22">
        <v>1</v>
      </c>
      <c r="E22">
        <f t="shared" si="0"/>
        <v>0.71428571428571397</v>
      </c>
      <c r="L22" s="15"/>
      <c r="M22" s="17">
        <v>29000000</v>
      </c>
      <c r="N22" s="1">
        <v>0.87152777777777801</v>
      </c>
      <c r="S22" s="1"/>
    </row>
    <row r="23" spans="1:19">
      <c r="A23" s="8" t="s">
        <v>103</v>
      </c>
      <c r="B23">
        <v>0</v>
      </c>
      <c r="C23">
        <v>3</v>
      </c>
      <c r="D23">
        <v>1</v>
      </c>
      <c r="E23">
        <f t="shared" si="0"/>
        <v>0.57142857142857095</v>
      </c>
      <c r="L23" s="15"/>
      <c r="M23" s="15"/>
      <c r="N23" s="15">
        <v>0.3</v>
      </c>
      <c r="S23" s="1"/>
    </row>
    <row r="24" spans="1:19" ht="16">
      <c r="A24" s="5" t="s">
        <v>107</v>
      </c>
      <c r="B24">
        <v>0</v>
      </c>
      <c r="C24">
        <v>3</v>
      </c>
      <c r="D24">
        <v>1</v>
      </c>
      <c r="E24">
        <f t="shared" si="0"/>
        <v>0.57142857142857095</v>
      </c>
      <c r="L24" s="15"/>
      <c r="M24" s="17">
        <v>375000000</v>
      </c>
      <c r="N24" s="1">
        <v>0.62916666666666698</v>
      </c>
      <c r="S24" s="1"/>
    </row>
    <row r="25" spans="1:19">
      <c r="A25" s="8" t="s">
        <v>110</v>
      </c>
      <c r="B25">
        <v>0</v>
      </c>
      <c r="C25">
        <v>2</v>
      </c>
      <c r="D25">
        <v>1</v>
      </c>
      <c r="E25">
        <f t="shared" si="0"/>
        <v>0.42857142857142899</v>
      </c>
      <c r="L25" s="15"/>
      <c r="M25" s="15"/>
      <c r="N25" s="15">
        <v>0.7</v>
      </c>
      <c r="S25" s="1"/>
    </row>
    <row r="26" spans="1:19" ht="16">
      <c r="A26" s="11" t="s">
        <v>114</v>
      </c>
      <c r="B26">
        <v>0</v>
      </c>
      <c r="C26">
        <v>2</v>
      </c>
      <c r="D26">
        <v>1</v>
      </c>
      <c r="E26">
        <f t="shared" si="0"/>
        <v>0.42857142857142899</v>
      </c>
      <c r="L26" s="15"/>
      <c r="M26" s="17">
        <v>160000000</v>
      </c>
      <c r="N26" s="1">
        <v>0.500694444444444</v>
      </c>
      <c r="S26" s="1"/>
    </row>
    <row r="27" spans="1:19" ht="16">
      <c r="A27" s="10" t="s">
        <v>118</v>
      </c>
      <c r="B27">
        <v>0</v>
      </c>
      <c r="C27">
        <v>2</v>
      </c>
      <c r="D27">
        <v>1</v>
      </c>
      <c r="E27">
        <f t="shared" si="0"/>
        <v>0.42857142857142899</v>
      </c>
      <c r="L27" s="15"/>
      <c r="M27" s="17"/>
      <c r="N27" s="1">
        <v>0.23055555555555601</v>
      </c>
      <c r="S27" s="1"/>
    </row>
    <row r="28" spans="1:19" ht="16">
      <c r="A28" s="11" t="s">
        <v>122</v>
      </c>
      <c r="B28">
        <v>0</v>
      </c>
      <c r="C28">
        <v>1</v>
      </c>
      <c r="D28">
        <v>1</v>
      </c>
      <c r="E28">
        <f t="shared" si="0"/>
        <v>0.28571428571428598</v>
      </c>
      <c r="L28" s="15"/>
      <c r="M28" s="17">
        <v>83000000</v>
      </c>
      <c r="N28" s="1">
        <v>0.391666666666667</v>
      </c>
      <c r="S28" s="1"/>
    </row>
    <row r="29" spans="1:19" ht="16">
      <c r="A29" s="12" t="s">
        <v>126</v>
      </c>
      <c r="B29">
        <v>0</v>
      </c>
      <c r="C29">
        <v>1</v>
      </c>
      <c r="D29">
        <v>0</v>
      </c>
      <c r="E29">
        <f t="shared" si="0"/>
        <v>0.14285714285714299</v>
      </c>
      <c r="L29" s="15"/>
      <c r="M29" s="17">
        <v>1900000000</v>
      </c>
      <c r="N29" s="1">
        <v>0.14583333300000001</v>
      </c>
      <c r="S29" s="1"/>
    </row>
    <row r="30" spans="1:19" ht="16">
      <c r="A30" s="13" t="s">
        <v>131</v>
      </c>
      <c r="B30">
        <v>0</v>
      </c>
      <c r="C30">
        <v>1</v>
      </c>
      <c r="D30">
        <v>1</v>
      </c>
      <c r="E30">
        <f t="shared" si="0"/>
        <v>0.28571428571428598</v>
      </c>
      <c r="L30" s="15"/>
      <c r="M30" s="17"/>
      <c r="N30" s="1">
        <v>0.37777777777777799</v>
      </c>
      <c r="S30" s="1"/>
    </row>
    <row r="31" spans="1:19" ht="16">
      <c r="A31" s="13" t="s">
        <v>136</v>
      </c>
      <c r="B31">
        <v>0</v>
      </c>
      <c r="C31">
        <v>2</v>
      </c>
      <c r="D31">
        <v>1</v>
      </c>
      <c r="E31">
        <f t="shared" si="0"/>
        <v>0.42857142857142899</v>
      </c>
      <c r="L31" s="15"/>
      <c r="M31" s="17"/>
      <c r="N31" s="1">
        <v>0.65347222222222201</v>
      </c>
      <c r="S31" s="1"/>
    </row>
    <row r="32" spans="1:19" ht="16">
      <c r="A32" s="13" t="s">
        <v>140</v>
      </c>
      <c r="B32">
        <v>0</v>
      </c>
      <c r="C32">
        <v>2</v>
      </c>
      <c r="D32">
        <v>1</v>
      </c>
      <c r="E32">
        <f t="shared" si="0"/>
        <v>0.42857142857142899</v>
      </c>
      <c r="L32" s="15"/>
      <c r="M32" s="17"/>
      <c r="N32" s="1">
        <v>0.4</v>
      </c>
      <c r="S32" s="1"/>
    </row>
    <row r="33" spans="1:19" ht="16">
      <c r="A33" s="18" t="s">
        <v>144</v>
      </c>
      <c r="B33">
        <v>0</v>
      </c>
      <c r="C33">
        <v>2</v>
      </c>
      <c r="D33">
        <v>1</v>
      </c>
      <c r="E33">
        <f t="shared" si="0"/>
        <v>0.42857142857142899</v>
      </c>
      <c r="L33" s="15"/>
      <c r="M33" s="17">
        <v>29900000</v>
      </c>
      <c r="N33" s="1">
        <v>0.33263888888888898</v>
      </c>
      <c r="S33" s="1"/>
    </row>
    <row r="34" spans="1:19" ht="16">
      <c r="A34" s="18" t="s">
        <v>149</v>
      </c>
      <c r="B34">
        <v>0</v>
      </c>
      <c r="C34">
        <v>2</v>
      </c>
      <c r="D34">
        <v>1</v>
      </c>
      <c r="E34">
        <f t="shared" si="0"/>
        <v>0.42857142857142899</v>
      </c>
      <c r="L34" s="15"/>
      <c r="M34" s="17">
        <v>2600000000</v>
      </c>
      <c r="N34" s="1">
        <v>0.66180555555555598</v>
      </c>
      <c r="S34" s="1"/>
    </row>
    <row r="35" spans="1:19" ht="16">
      <c r="A35" s="18" t="s">
        <v>153</v>
      </c>
      <c r="B35">
        <v>0</v>
      </c>
      <c r="C35">
        <v>2</v>
      </c>
      <c r="D35">
        <v>1</v>
      </c>
      <c r="E35">
        <f t="shared" si="0"/>
        <v>0.42857142857142899</v>
      </c>
      <c r="L35" s="15"/>
      <c r="M35" s="17"/>
      <c r="N35" s="1">
        <v>0.15625</v>
      </c>
      <c r="S35" s="1"/>
    </row>
    <row r="36" spans="1:19" ht="16">
      <c r="A36" s="18" t="s">
        <v>157</v>
      </c>
      <c r="B36">
        <v>0</v>
      </c>
      <c r="C36">
        <v>3</v>
      </c>
      <c r="D36">
        <v>1</v>
      </c>
      <c r="E36">
        <f t="shared" si="0"/>
        <v>0.57142857142857095</v>
      </c>
      <c r="L36" s="15"/>
      <c r="M36" s="17"/>
      <c r="N36" s="1">
        <v>0.71250000000000002</v>
      </c>
      <c r="S36" s="1"/>
    </row>
    <row r="37" spans="1:19" ht="16">
      <c r="A37" s="19" t="s">
        <v>160</v>
      </c>
      <c r="B37">
        <v>0</v>
      </c>
      <c r="C37">
        <v>3</v>
      </c>
      <c r="D37">
        <v>1</v>
      </c>
      <c r="E37">
        <f t="shared" si="0"/>
        <v>0.57142857142857095</v>
      </c>
      <c r="L37" s="15"/>
      <c r="M37" s="17">
        <v>3380000</v>
      </c>
      <c r="N37" s="1">
        <v>0.561805555555556</v>
      </c>
      <c r="S37" s="1"/>
    </row>
    <row r="38" spans="1:19" ht="16">
      <c r="A38" s="19" t="s">
        <v>165</v>
      </c>
      <c r="B38">
        <v>0</v>
      </c>
      <c r="C38">
        <v>1</v>
      </c>
      <c r="D38">
        <v>0</v>
      </c>
      <c r="E38">
        <f t="shared" si="0"/>
        <v>0.14285714285714299</v>
      </c>
      <c r="L38" s="15"/>
      <c r="M38" s="17">
        <v>20000000</v>
      </c>
      <c r="N38" s="1">
        <v>0</v>
      </c>
      <c r="S38" s="1"/>
    </row>
    <row r="39" spans="1:19" ht="16">
      <c r="A39" s="20" t="s">
        <v>168</v>
      </c>
      <c r="B39">
        <v>0</v>
      </c>
      <c r="C39">
        <v>1</v>
      </c>
      <c r="D39">
        <v>0</v>
      </c>
      <c r="E39">
        <f t="shared" si="0"/>
        <v>0.14285714285714299</v>
      </c>
      <c r="L39" s="15"/>
      <c r="M39" s="25"/>
      <c r="N39" s="26">
        <v>0.33263888899999999</v>
      </c>
      <c r="S39" s="1"/>
    </row>
    <row r="40" spans="1:19">
      <c r="A40" s="21" t="s">
        <v>173</v>
      </c>
      <c r="B40">
        <v>2</v>
      </c>
      <c r="C40">
        <v>3</v>
      </c>
      <c r="D40">
        <v>2</v>
      </c>
      <c r="E40">
        <f t="shared" si="0"/>
        <v>1</v>
      </c>
      <c r="L40" s="15"/>
      <c r="M40" s="17">
        <v>11000000</v>
      </c>
      <c r="N40" s="1">
        <v>1</v>
      </c>
      <c r="S40" s="1"/>
    </row>
    <row r="41" spans="1:19">
      <c r="A41" s="21" t="s">
        <v>178</v>
      </c>
      <c r="B41">
        <v>1</v>
      </c>
      <c r="C41">
        <v>0</v>
      </c>
      <c r="D41">
        <v>0</v>
      </c>
      <c r="E41">
        <f t="shared" si="0"/>
        <v>0.14285714285714299</v>
      </c>
      <c r="L41" s="15"/>
      <c r="M41" s="15"/>
      <c r="N41" s="15"/>
      <c r="S41" s="1"/>
    </row>
    <row r="42" spans="1:19">
      <c r="A42" s="21" t="s">
        <v>182</v>
      </c>
      <c r="B42">
        <v>1</v>
      </c>
      <c r="C42">
        <v>0</v>
      </c>
      <c r="D42">
        <v>0</v>
      </c>
      <c r="E42">
        <f t="shared" si="0"/>
        <v>0.14285714285714299</v>
      </c>
      <c r="L42" s="15"/>
      <c r="M42" s="15"/>
      <c r="N42" s="15"/>
      <c r="S42" s="1"/>
    </row>
    <row r="43" spans="1:19">
      <c r="A43" s="21" t="s">
        <v>307</v>
      </c>
      <c r="B43">
        <v>2</v>
      </c>
      <c r="C43">
        <v>3</v>
      </c>
      <c r="D43">
        <v>2</v>
      </c>
      <c r="E43">
        <f t="shared" si="0"/>
        <v>1</v>
      </c>
      <c r="L43" s="15"/>
      <c r="M43" s="15"/>
      <c r="N43" s="15"/>
      <c r="S43" s="1"/>
    </row>
    <row r="44" spans="1:19">
      <c r="A44" s="21" t="s">
        <v>190</v>
      </c>
      <c r="B44">
        <v>2</v>
      </c>
      <c r="C44">
        <v>3</v>
      </c>
      <c r="D44">
        <v>2</v>
      </c>
      <c r="E44">
        <f t="shared" si="0"/>
        <v>1</v>
      </c>
      <c r="L44" s="15"/>
      <c r="M44" s="15"/>
      <c r="N44" s="15"/>
      <c r="S44" s="1"/>
    </row>
    <row r="45" spans="1:19">
      <c r="A45" s="21" t="s">
        <v>193</v>
      </c>
      <c r="B45">
        <v>2</v>
      </c>
      <c r="C45">
        <v>3</v>
      </c>
      <c r="D45">
        <v>2</v>
      </c>
      <c r="E45">
        <f t="shared" si="0"/>
        <v>1</v>
      </c>
      <c r="L45" s="15"/>
      <c r="M45" s="15"/>
      <c r="N45" s="15"/>
      <c r="S45" s="1"/>
    </row>
    <row r="46" spans="1:19">
      <c r="A46" s="21" t="s">
        <v>197</v>
      </c>
      <c r="B46">
        <v>2</v>
      </c>
      <c r="C46">
        <v>3</v>
      </c>
      <c r="D46">
        <v>2</v>
      </c>
      <c r="E46">
        <f t="shared" si="0"/>
        <v>1</v>
      </c>
      <c r="L46" s="15"/>
      <c r="M46" s="15"/>
      <c r="N46" s="15"/>
      <c r="S46" s="1"/>
    </row>
    <row r="47" spans="1:19">
      <c r="A47" s="21" t="s">
        <v>199</v>
      </c>
      <c r="B47">
        <v>2</v>
      </c>
      <c r="C47">
        <v>3</v>
      </c>
      <c r="D47">
        <v>2</v>
      </c>
      <c r="E47">
        <f t="shared" si="0"/>
        <v>1</v>
      </c>
      <c r="L47" s="15"/>
      <c r="M47" s="15"/>
      <c r="N47" s="15"/>
      <c r="S47" s="1"/>
    </row>
    <row r="48" spans="1:19">
      <c r="A48" s="21" t="s">
        <v>203</v>
      </c>
      <c r="B48">
        <v>0</v>
      </c>
      <c r="C48">
        <v>1</v>
      </c>
      <c r="D48">
        <v>1</v>
      </c>
      <c r="E48">
        <f t="shared" si="0"/>
        <v>0.28571428571428598</v>
      </c>
      <c r="L48" s="15"/>
      <c r="M48" s="15"/>
      <c r="N48" s="15"/>
      <c r="S48" s="1"/>
    </row>
    <row r="49" spans="1:19">
      <c r="A49" s="21" t="s">
        <v>206</v>
      </c>
      <c r="B49">
        <v>0</v>
      </c>
      <c r="C49">
        <v>2</v>
      </c>
      <c r="D49">
        <v>0</v>
      </c>
      <c r="E49">
        <f t="shared" si="0"/>
        <v>0.28571428571428598</v>
      </c>
      <c r="L49" s="15"/>
      <c r="M49" s="1"/>
      <c r="N49" s="15"/>
      <c r="S49" s="1"/>
    </row>
    <row r="50" spans="1:19">
      <c r="A50" s="21" t="s">
        <v>207</v>
      </c>
      <c r="B50">
        <v>2</v>
      </c>
      <c r="C50">
        <v>3</v>
      </c>
      <c r="D50">
        <v>0</v>
      </c>
      <c r="E50">
        <f t="shared" si="0"/>
        <v>0.71428571428571397</v>
      </c>
      <c r="L50" s="15"/>
      <c r="M50" s="15"/>
      <c r="N50" s="15"/>
      <c r="S50" s="1"/>
    </row>
    <row r="51" spans="1:19">
      <c r="A51" s="21" t="s">
        <v>211</v>
      </c>
      <c r="B51">
        <v>0</v>
      </c>
      <c r="C51">
        <v>2</v>
      </c>
      <c r="D51">
        <v>1</v>
      </c>
      <c r="E51">
        <f t="shared" si="0"/>
        <v>0.42857142857142899</v>
      </c>
      <c r="L51" s="15"/>
      <c r="M51" s="15"/>
      <c r="N51" s="15"/>
      <c r="S51" s="1"/>
    </row>
    <row r="52" spans="1:19">
      <c r="A52" s="21" t="s">
        <v>215</v>
      </c>
      <c r="B52">
        <v>2</v>
      </c>
      <c r="C52">
        <v>3</v>
      </c>
      <c r="D52">
        <v>2</v>
      </c>
      <c r="E52">
        <f t="shared" si="0"/>
        <v>1</v>
      </c>
      <c r="L52" s="15"/>
      <c r="M52" s="15"/>
      <c r="N52" s="15"/>
      <c r="S52" s="1"/>
    </row>
    <row r="53" spans="1:19">
      <c r="A53" s="21" t="s">
        <v>219</v>
      </c>
      <c r="B53">
        <v>2</v>
      </c>
      <c r="C53">
        <v>3</v>
      </c>
      <c r="D53">
        <v>2</v>
      </c>
      <c r="E53">
        <f t="shared" si="0"/>
        <v>1</v>
      </c>
      <c r="L53" s="15"/>
      <c r="M53" s="15"/>
      <c r="N53" s="15"/>
      <c r="S53" s="1"/>
    </row>
    <row r="54" spans="1:19">
      <c r="A54" s="21" t="s">
        <v>223</v>
      </c>
      <c r="B54">
        <v>0</v>
      </c>
      <c r="C54">
        <v>1</v>
      </c>
      <c r="D54">
        <v>1</v>
      </c>
      <c r="E54">
        <f t="shared" si="0"/>
        <v>0.28571428571428598</v>
      </c>
      <c r="L54" s="15"/>
      <c r="M54" s="15"/>
      <c r="N54" s="15"/>
      <c r="S54" s="1"/>
    </row>
    <row r="55" spans="1:19">
      <c r="A55" s="21" t="s">
        <v>225</v>
      </c>
      <c r="B55">
        <v>0</v>
      </c>
      <c r="C55">
        <v>1</v>
      </c>
      <c r="D55">
        <v>1</v>
      </c>
      <c r="E55">
        <f t="shared" si="0"/>
        <v>0.28571428571428598</v>
      </c>
      <c r="L55" s="15"/>
      <c r="M55" s="15"/>
      <c r="N55" s="1"/>
      <c r="S55" s="1"/>
    </row>
    <row r="56" spans="1:19" ht="16">
      <c r="A56" s="22" t="s">
        <v>228</v>
      </c>
      <c r="B56">
        <v>2</v>
      </c>
      <c r="C56">
        <v>3</v>
      </c>
      <c r="D56">
        <v>2</v>
      </c>
      <c r="E56">
        <f t="shared" si="0"/>
        <v>1</v>
      </c>
      <c r="L56" s="15"/>
      <c r="M56" s="15"/>
      <c r="N56" s="1">
        <v>0.86319444444444404</v>
      </c>
      <c r="S56" s="1"/>
    </row>
    <row r="57" spans="1:19" ht="16">
      <c r="A57" s="23" t="s">
        <v>233</v>
      </c>
      <c r="B57">
        <v>0</v>
      </c>
      <c r="C57">
        <v>3</v>
      </c>
      <c r="D57">
        <v>1</v>
      </c>
      <c r="E57">
        <f t="shared" si="0"/>
        <v>0.57142857142857095</v>
      </c>
      <c r="L57" s="15"/>
      <c r="M57" s="15"/>
      <c r="N57" s="1">
        <v>0.68958333333333299</v>
      </c>
      <c r="S57" s="1"/>
    </row>
    <row r="58" spans="1:19" ht="16">
      <c r="A58" s="23" t="s">
        <v>236</v>
      </c>
      <c r="B58">
        <v>0</v>
      </c>
      <c r="C58">
        <v>1</v>
      </c>
      <c r="D58">
        <v>0</v>
      </c>
      <c r="E58">
        <f t="shared" si="0"/>
        <v>0.14285714285714299</v>
      </c>
      <c r="L58" s="15"/>
      <c r="M58" s="15"/>
      <c r="N58" s="1">
        <v>0.28263888888888899</v>
      </c>
      <c r="S58" s="1"/>
    </row>
    <row r="59" spans="1:19" ht="16">
      <c r="A59" s="23" t="s">
        <v>240</v>
      </c>
      <c r="B59">
        <v>0</v>
      </c>
      <c r="C59">
        <v>3</v>
      </c>
      <c r="D59">
        <v>1</v>
      </c>
      <c r="E59">
        <f t="shared" si="0"/>
        <v>0.57142857142857095</v>
      </c>
      <c r="L59" s="15"/>
      <c r="M59" s="15"/>
      <c r="N59" s="1">
        <v>0.69305555555555598</v>
      </c>
      <c r="S59" s="1"/>
    </row>
    <row r="60" spans="1:19" ht="16">
      <c r="A60" s="22" t="s">
        <v>243</v>
      </c>
      <c r="B60">
        <v>1</v>
      </c>
      <c r="C60">
        <v>3</v>
      </c>
      <c r="D60">
        <v>2</v>
      </c>
      <c r="E60">
        <f t="shared" ref="E60:E75" si="1">SUM(B60:D60)/7</f>
        <v>0.85714285714285698</v>
      </c>
      <c r="L60" s="15"/>
      <c r="M60" s="15"/>
      <c r="N60" s="1">
        <v>0.51111111111111096</v>
      </c>
      <c r="S60" s="1"/>
    </row>
    <row r="61" spans="1:19">
      <c r="A61" s="24" t="s">
        <v>246</v>
      </c>
      <c r="B61">
        <v>1</v>
      </c>
      <c r="C61">
        <v>0</v>
      </c>
      <c r="D61">
        <v>0</v>
      </c>
      <c r="E61">
        <f t="shared" si="1"/>
        <v>0.14285714285714299</v>
      </c>
      <c r="L61" s="15"/>
      <c r="M61" s="15"/>
      <c r="N61" s="1">
        <v>0.44166666666666698</v>
      </c>
      <c r="S61" s="1"/>
    </row>
    <row r="62" spans="1:19">
      <c r="A62" s="24" t="s">
        <v>249</v>
      </c>
      <c r="B62">
        <v>2</v>
      </c>
      <c r="C62">
        <v>3</v>
      </c>
      <c r="D62">
        <v>2</v>
      </c>
      <c r="E62">
        <f t="shared" si="1"/>
        <v>1</v>
      </c>
      <c r="L62" s="15"/>
      <c r="M62" s="15"/>
      <c r="N62" s="1">
        <v>0.89097222222222205</v>
      </c>
      <c r="S62" s="1"/>
    </row>
    <row r="63" spans="1:19">
      <c r="A63" s="24" t="s">
        <v>254</v>
      </c>
      <c r="B63">
        <v>2</v>
      </c>
      <c r="C63">
        <v>3</v>
      </c>
      <c r="D63">
        <v>2</v>
      </c>
      <c r="E63">
        <f t="shared" si="1"/>
        <v>1</v>
      </c>
      <c r="L63" s="15"/>
      <c r="M63" s="15"/>
      <c r="N63" s="1">
        <v>0.97222222222222199</v>
      </c>
      <c r="S63" s="1"/>
    </row>
    <row r="64" spans="1:19">
      <c r="A64" s="24" t="s">
        <v>257</v>
      </c>
      <c r="B64">
        <v>0</v>
      </c>
      <c r="C64">
        <v>1</v>
      </c>
      <c r="D64">
        <v>0</v>
      </c>
      <c r="E64">
        <f t="shared" si="1"/>
        <v>0.14285714285714299</v>
      </c>
      <c r="L64" s="15"/>
      <c r="M64" s="15"/>
      <c r="N64" s="1">
        <v>0.14583333333333301</v>
      </c>
      <c r="S64" s="1"/>
    </row>
    <row r="65" spans="1:19">
      <c r="A65" s="24" t="s">
        <v>261</v>
      </c>
      <c r="B65">
        <v>0</v>
      </c>
      <c r="C65">
        <v>1</v>
      </c>
      <c r="D65">
        <v>0</v>
      </c>
      <c r="E65">
        <f t="shared" si="1"/>
        <v>0.14285714285714299</v>
      </c>
      <c r="L65" s="15"/>
      <c r="M65" s="15"/>
      <c r="N65" s="1">
        <v>0.14236111111111099</v>
      </c>
      <c r="S65" s="1"/>
    </row>
    <row r="66" spans="1:19">
      <c r="A66" s="24" t="s">
        <v>265</v>
      </c>
      <c r="B66">
        <v>0</v>
      </c>
      <c r="C66">
        <v>1</v>
      </c>
      <c r="D66">
        <v>0</v>
      </c>
      <c r="E66">
        <f t="shared" si="1"/>
        <v>0.14285714285714299</v>
      </c>
      <c r="L66" s="15"/>
      <c r="M66" s="15"/>
      <c r="N66" s="1">
        <v>8.3333333333333301E-2</v>
      </c>
      <c r="S66" s="1"/>
    </row>
    <row r="67" spans="1:19">
      <c r="A67" s="27" t="s">
        <v>268</v>
      </c>
      <c r="B67">
        <v>2</v>
      </c>
      <c r="C67">
        <v>3</v>
      </c>
      <c r="D67">
        <v>2</v>
      </c>
      <c r="E67">
        <f t="shared" si="1"/>
        <v>1</v>
      </c>
      <c r="L67" s="15"/>
      <c r="M67" s="15"/>
      <c r="N67" s="1"/>
      <c r="S67" s="1"/>
    </row>
    <row r="68" spans="1:19">
      <c r="A68" s="27" t="s">
        <v>272</v>
      </c>
      <c r="B68">
        <v>0</v>
      </c>
      <c r="C68">
        <v>3</v>
      </c>
      <c r="D68">
        <v>1</v>
      </c>
      <c r="E68">
        <f t="shared" si="1"/>
        <v>0.57142857142857095</v>
      </c>
      <c r="L68" s="15"/>
      <c r="M68" s="15"/>
      <c r="N68" s="15"/>
      <c r="S68" s="1"/>
    </row>
    <row r="69" spans="1:19">
      <c r="A69" s="27" t="s">
        <v>276</v>
      </c>
      <c r="B69">
        <v>2</v>
      </c>
      <c r="C69">
        <v>3</v>
      </c>
      <c r="D69">
        <v>2</v>
      </c>
      <c r="E69">
        <f t="shared" si="1"/>
        <v>1</v>
      </c>
      <c r="L69" s="15"/>
      <c r="M69" s="15"/>
      <c r="N69" s="15"/>
      <c r="S69" s="1"/>
    </row>
    <row r="70" spans="1:19">
      <c r="A70" s="27" t="s">
        <v>280</v>
      </c>
      <c r="B70">
        <v>1</v>
      </c>
      <c r="C70">
        <v>3</v>
      </c>
      <c r="D70">
        <v>1</v>
      </c>
      <c r="E70">
        <f t="shared" si="1"/>
        <v>0.71428571428571397</v>
      </c>
      <c r="L70" s="15"/>
      <c r="M70" s="15"/>
      <c r="N70" s="15"/>
      <c r="S70" s="1"/>
    </row>
    <row r="71" spans="1:19">
      <c r="A71" s="27" t="s">
        <v>283</v>
      </c>
      <c r="B71">
        <v>0</v>
      </c>
      <c r="C71">
        <v>1</v>
      </c>
      <c r="D71">
        <v>0</v>
      </c>
      <c r="E71">
        <f t="shared" si="1"/>
        <v>0.14285714285714299</v>
      </c>
      <c r="L71" s="15"/>
      <c r="M71" s="15"/>
      <c r="N71" s="15"/>
      <c r="S71" s="1"/>
    </row>
    <row r="72" spans="1:19">
      <c r="A72" s="27" t="s">
        <v>287</v>
      </c>
      <c r="B72">
        <v>2</v>
      </c>
      <c r="C72">
        <v>3</v>
      </c>
      <c r="D72">
        <v>2</v>
      </c>
      <c r="E72">
        <f t="shared" si="1"/>
        <v>1</v>
      </c>
      <c r="L72" s="15"/>
      <c r="M72" s="15"/>
      <c r="N72" s="15"/>
      <c r="S72" s="1"/>
    </row>
    <row r="73" spans="1:19">
      <c r="A73" s="27" t="s">
        <v>290</v>
      </c>
      <c r="B73">
        <v>0</v>
      </c>
      <c r="C73">
        <v>2</v>
      </c>
      <c r="D73">
        <v>1</v>
      </c>
      <c r="E73">
        <f t="shared" si="1"/>
        <v>0.42857142857142899</v>
      </c>
      <c r="L73" s="15"/>
      <c r="M73" s="15"/>
      <c r="N73" s="15"/>
      <c r="S73" s="1"/>
    </row>
    <row r="74" spans="1:19">
      <c r="A74" s="27" t="s">
        <v>292</v>
      </c>
      <c r="B74">
        <v>2</v>
      </c>
      <c r="C74">
        <v>3</v>
      </c>
      <c r="D74">
        <v>2</v>
      </c>
      <c r="E74">
        <f t="shared" si="1"/>
        <v>1</v>
      </c>
      <c r="L74" s="15"/>
      <c r="M74" s="15"/>
      <c r="N74" s="15"/>
      <c r="S74" s="1"/>
    </row>
    <row r="75" spans="1:19">
      <c r="A75" s="27" t="s">
        <v>295</v>
      </c>
      <c r="B75">
        <v>1</v>
      </c>
      <c r="C75">
        <v>3</v>
      </c>
      <c r="D75">
        <v>1</v>
      </c>
      <c r="E75">
        <f t="shared" si="1"/>
        <v>0.71428571428571397</v>
      </c>
      <c r="L75" s="15"/>
      <c r="M75" s="15"/>
      <c r="N75" s="15"/>
      <c r="S75" s="1"/>
    </row>
    <row r="76" spans="1:19">
      <c r="L76" s="15"/>
      <c r="M76" s="15"/>
      <c r="N76" s="15"/>
      <c r="S76" s="1"/>
    </row>
    <row r="77" spans="1:19">
      <c r="L77" s="15"/>
      <c r="M77" s="15"/>
      <c r="N77" s="15"/>
    </row>
    <row r="78" spans="1:19" ht="16">
      <c r="A78" s="12" t="s">
        <v>126</v>
      </c>
      <c r="B78">
        <v>0</v>
      </c>
      <c r="C78">
        <v>1</v>
      </c>
      <c r="D78">
        <v>0</v>
      </c>
      <c r="E78">
        <f>SUM(B78:D78)/7</f>
        <v>0.14285714285714299</v>
      </c>
      <c r="L78" s="15"/>
      <c r="M78" s="15"/>
      <c r="N78" s="15"/>
    </row>
    <row r="79" spans="1:19">
      <c r="L79" s="15"/>
      <c r="M79" s="15"/>
      <c r="N79" s="15"/>
    </row>
    <row r="80" spans="1:19">
      <c r="L80" s="15"/>
      <c r="M80" s="15"/>
      <c r="N80" s="15"/>
    </row>
    <row r="81" spans="12:14">
      <c r="L81" s="15"/>
      <c r="M81" s="15"/>
      <c r="N81" s="15"/>
    </row>
    <row r="82" spans="12:14">
      <c r="L82" s="15"/>
      <c r="M82" s="15"/>
      <c r="N82" s="15"/>
    </row>
    <row r="83" spans="12:14">
      <c r="L83" s="15"/>
      <c r="M83" s="15"/>
      <c r="N83" s="15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Guo</cp:lastModifiedBy>
  <dcterms:created xsi:type="dcterms:W3CDTF">2018-06-07T16:28:00Z</dcterms:created>
  <dcterms:modified xsi:type="dcterms:W3CDTF">2024-11-16T09:54:04Z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2052-12.9.0.18919</vt:lpwstr>
  </property>
</Properties>
</file>